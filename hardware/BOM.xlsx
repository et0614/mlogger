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repositories\mlogger\hardware\"/>
    </mc:Choice>
  </mc:AlternateContent>
  <xr:revisionPtr revIDLastSave="0" documentId="13_ncr:1_{B06E849D-F0E1-4CDF-90C8-55C9DD565EE3}" xr6:coauthVersionLast="47" xr6:coauthVersionMax="47" xr10:uidLastSave="{00000000-0000-0000-0000-000000000000}"/>
  <bookViews>
    <workbookView xWindow="47140" yWindow="1750" windowWidth="28440" windowHeight="18120" xr2:uid="{00000000-000D-0000-FFFF-FFFF00000000}"/>
  </bookViews>
  <sheets>
    <sheet name="main" sheetId="4" r:id="rId1"/>
    <sheet name="vel_plobe" sheetId="5" r:id="rId2"/>
    <sheet name="th_plobe" sheetId="6" r:id="rId3"/>
  </sheets>
  <definedNames>
    <definedName name="_xlnm.Print_Area" localSheetId="0">main!$A$1:$F$28</definedName>
    <definedName name="_xlnm.Print_Area" localSheetId="2">th_plobe!$A$1:$F$7</definedName>
    <definedName name="_xlnm.Print_Area" localSheetId="1">vel_plobe!$A$1:$F$20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C3" i="6"/>
  <c r="C8" i="4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5" i="4"/>
  <c r="C6" i="4"/>
  <c r="C4" i="4"/>
  <c r="C3" i="4"/>
  <c r="C7" i="6"/>
  <c r="C5" i="6"/>
  <c r="C4" i="6"/>
  <c r="C2" i="6"/>
  <c r="C7" i="4"/>
</calcChain>
</file>

<file path=xl/sharedStrings.xml><?xml version="1.0" encoding="utf-8"?>
<sst xmlns="http://schemas.openxmlformats.org/spreadsheetml/2006/main" count="259" uniqueCount="220">
  <si>
    <t>Designator</t>
    <phoneticPr fontId="18" type="noConversion"/>
  </si>
  <si>
    <t>Qty</t>
    <phoneticPr fontId="18" type="noConversion"/>
  </si>
  <si>
    <t>Link</t>
    <phoneticPr fontId="18" type="noConversion"/>
  </si>
  <si>
    <t>TFPT1206L1002FV</t>
    <phoneticPr fontId="18" type="noConversion"/>
  </si>
  <si>
    <t>Manufacturer Part Number</t>
    <phoneticPr fontId="18" type="noConversion"/>
  </si>
  <si>
    <t>ATmel</t>
    <phoneticPr fontId="18" type="noConversion"/>
  </si>
  <si>
    <t>Murata</t>
    <phoneticPr fontId="18" type="noConversion"/>
  </si>
  <si>
    <t>Seiko Epson</t>
    <phoneticPr fontId="18" type="noConversion"/>
  </si>
  <si>
    <t>YAGEO</t>
  </si>
  <si>
    <t>VISHAY</t>
    <phoneticPr fontId="18" type="noConversion"/>
  </si>
  <si>
    <t>FC-12M 32.7680KA-A5</t>
    <phoneticPr fontId="18" type="noConversion"/>
  </si>
  <si>
    <t>TVAF06-A020B-R</t>
    <phoneticPr fontId="18" type="noConversion"/>
  </si>
  <si>
    <t>Panasonic</t>
    <phoneticPr fontId="18" type="noConversion"/>
  </si>
  <si>
    <t>Manufacturer</t>
    <phoneticPr fontId="18" type="noConversion"/>
  </si>
  <si>
    <t>https://www.digikey.jp/ja/products/detail/murata-electronics/GCJ188R71H104KA12D/2783803</t>
    <phoneticPr fontId="18" type="noConversion"/>
  </si>
  <si>
    <t>Harvatek Corporation</t>
    <phoneticPr fontId="18" type="noConversion"/>
  </si>
  <si>
    <t>https://www.digikey.jp/ja/products/detail/harvatek-corporation/B1911PG-20D000514U1930/15519992</t>
    <phoneticPr fontId="18" type="noConversion"/>
  </si>
  <si>
    <t>https://www.digikey.jp/ja/products/detail/murata-electronics/GRT188C80G105ME01J/13904968</t>
    <phoneticPr fontId="18" type="noConversion"/>
  </si>
  <si>
    <t>MFU0603FF01000P500</t>
    <phoneticPr fontId="19"/>
  </si>
  <si>
    <t>Vishay Beyschlag/Draloric/BC Components</t>
    <phoneticPr fontId="19"/>
  </si>
  <si>
    <t>D101</t>
    <phoneticPr fontId="19"/>
  </si>
  <si>
    <t>F101</t>
    <phoneticPr fontId="19"/>
  </si>
  <si>
    <t>https://www.digikey.jp/en/products/detail/vishay-beyschlag-draloric-bc-components/MFU0603FF01000P500/1202604</t>
    <phoneticPr fontId="18" type="noConversion"/>
  </si>
  <si>
    <t>https://www.digikey.jp/ja/products/detail/vishay-dale/TFPT1206L1002FV/1427100</t>
    <phoneticPr fontId="18" type="noConversion"/>
  </si>
  <si>
    <t>SW101</t>
    <phoneticPr fontId="18" type="noConversion"/>
  </si>
  <si>
    <t>Zhejiang Jianfu Electronics Co., Ltd.</t>
    <phoneticPr fontId="18" type="noConversion"/>
  </si>
  <si>
    <t>XB3-24Z8CM-J</t>
    <phoneticPr fontId="18" type="noConversion"/>
  </si>
  <si>
    <t>Digi international</t>
    <phoneticPr fontId="18" type="noConversion"/>
  </si>
  <si>
    <t>SE20AFJHM3/6A</t>
    <phoneticPr fontId="19"/>
  </si>
  <si>
    <t>No.</t>
    <phoneticPr fontId="18" type="noConversion"/>
  </si>
  <si>
    <t>ICA01</t>
    <phoneticPr fontId="18" type="noConversion"/>
  </si>
  <si>
    <t>X801</t>
    <phoneticPr fontId="18" type="noConversion"/>
  </si>
  <si>
    <t>ICC01</t>
    <phoneticPr fontId="18" type="noConversion"/>
  </si>
  <si>
    <t>Murata</t>
    <phoneticPr fontId="18" type="noConversion"/>
  </si>
  <si>
    <t>D802</t>
    <phoneticPr fontId="18" type="noConversion"/>
  </si>
  <si>
    <t>DC01</t>
    <phoneticPr fontId="18" type="noConversion"/>
  </si>
  <si>
    <t>Torex</t>
    <phoneticPr fontId="18" type="noConversion"/>
  </si>
  <si>
    <t>R803, R804, RC01</t>
    <phoneticPr fontId="19"/>
  </si>
  <si>
    <t>https://www.digikey.jp/ja/products/detail/murata-electronics/GRM21BR61E106MA73L/4905533</t>
    <phoneticPr fontId="18" type="noConversion"/>
  </si>
  <si>
    <t>IC101</t>
    <phoneticPr fontId="18" type="noConversion"/>
  </si>
  <si>
    <t>Toshiba</t>
    <phoneticPr fontId="18" type="noConversion"/>
  </si>
  <si>
    <t>XCL103D333CR-G</t>
    <phoneticPr fontId="18" type="noConversion"/>
  </si>
  <si>
    <t>Sensirion</t>
    <phoneticPr fontId="18" type="noConversion"/>
  </si>
  <si>
    <t>TCR2EF30,LM</t>
    <phoneticPr fontId="18" type="noConversion"/>
  </si>
  <si>
    <t>D801</t>
    <phoneticPr fontId="18" type="noConversion"/>
  </si>
  <si>
    <t>https://www.digikey.jp/ja/products/detail/yageo/rc0603fr-07510rl/727285</t>
    <phoneticPr fontId="18" type="noConversion"/>
  </si>
  <si>
    <t>https://www.digikey.jp/ja/products/detail/harvatek-corporation/b1911usd-20d000114u1930/15519991</t>
    <phoneticPr fontId="18" type="noConversion"/>
  </si>
  <si>
    <t>https://www.digikey.jp/ja/products/detail/harvatek-corporation/B1911NB-20C005314U1930/15520015?s=N4IgTCBcDaIEIEYCcCEDk4FpNgAwGFdcBWAZgQBYBVZU3EAXQF8g</t>
    <phoneticPr fontId="18" type="noConversion"/>
  </si>
  <si>
    <t>IC802</t>
    <phoneticPr fontId="18" type="noConversion"/>
  </si>
  <si>
    <t>U01</t>
    <phoneticPr fontId="18" type="noConversion"/>
  </si>
  <si>
    <t>Winbond Electronics</t>
  </si>
  <si>
    <t>J01</t>
    <phoneticPr fontId="18" type="noConversion"/>
  </si>
  <si>
    <t>AVR64DU32-I/RXB</t>
  </si>
  <si>
    <t>TE Connectivity Passive Product</t>
  </si>
  <si>
    <t>Microchip Technology</t>
  </si>
  <si>
    <t>RB160M-60</t>
    <phoneticPr fontId="18" type="noConversion"/>
  </si>
  <si>
    <t>R801</t>
    <phoneticPr fontId="18" type="noConversion"/>
  </si>
  <si>
    <t>RC1206FR-07100RL</t>
    <phoneticPr fontId="18" type="noConversion"/>
  </si>
  <si>
    <t>https://www.digikey.jp/ja/products/detail/yageo/RC1206FR-07100RL/728491</t>
    <phoneticPr fontId="18" type="noConversion"/>
  </si>
  <si>
    <t>https://www.digikey.jp/ja/products/detail/shenzhen-slkormicro-semicon-co-ltd/RB160M-60/26802460</t>
    <phoneticPr fontId="18" type="noConversion"/>
  </si>
  <si>
    <t>https://www.digikey.jp/ja/products/detail/te-connectivity-passive-product/CPF0603B2R21E1/14007137</t>
    <phoneticPr fontId="18" type="noConversion"/>
  </si>
  <si>
    <t>Yageo Nexensos</t>
    <phoneticPr fontId="18" type="noConversion"/>
  </si>
  <si>
    <t>https://www.digikey.jp/ja/products/detail/yageo-nexensos/32208551/6677784</t>
    <phoneticPr fontId="18" type="noConversion"/>
  </si>
  <si>
    <t>YAGEO</t>
    <phoneticPr fontId="18" type="noConversion"/>
  </si>
  <si>
    <t>C103, C104, C105</t>
    <phoneticPr fontId="18" type="noConversion"/>
  </si>
  <si>
    <t>https://www.digikey.jp/ja/products/detail/murata-electronics/GRM31CR61A107MEA8L/16033775</t>
    <phoneticPr fontId="18" type="noConversion"/>
  </si>
  <si>
    <t>SW801</t>
    <phoneticPr fontId="18" type="noConversion"/>
  </si>
  <si>
    <t>C101, C803, C807, C808, CA01, CC01</t>
    <phoneticPr fontId="18" type="noConversion"/>
  </si>
  <si>
    <t>SV1, SV2</t>
    <phoneticPr fontId="18" type="noConversion"/>
  </si>
  <si>
    <t>C102</t>
    <phoneticPr fontId="18" type="noConversion"/>
  </si>
  <si>
    <t>C201, C202</t>
    <phoneticPr fontId="19"/>
  </si>
  <si>
    <t>PT1</t>
    <phoneticPr fontId="18" type="noConversion"/>
  </si>
  <si>
    <t>R9</t>
    <phoneticPr fontId="18" type="noConversion"/>
  </si>
  <si>
    <t>https://www.digikey.jp/ja/products/detail/te-connectivity-passive-product/RQ73C1J13KBTD/9480097</t>
    <phoneticPr fontId="18" type="noConversion"/>
  </si>
  <si>
    <t>R7, R8</t>
    <phoneticPr fontId="18" type="noConversion"/>
  </si>
  <si>
    <t>https://www.digikey.jp/ja/products/detail/te-connectivity-passive-product/RQ73C1J15KBTD/9480247</t>
    <phoneticPr fontId="18" type="noConversion"/>
  </si>
  <si>
    <t>R5, R6</t>
    <phoneticPr fontId="18" type="noConversion"/>
  </si>
  <si>
    <t>https://www.digikey.jp/ja/products/detail/te-connectivity-passive-product/RQ73C1J2K74BTD/9480545</t>
    <phoneticPr fontId="18" type="noConversion"/>
  </si>
  <si>
    <t>R4</t>
    <phoneticPr fontId="18" type="noConversion"/>
  </si>
  <si>
    <t>R3</t>
    <phoneticPr fontId="18" type="noConversion"/>
  </si>
  <si>
    <t>R2</t>
    <phoneticPr fontId="18" type="noConversion"/>
  </si>
  <si>
    <t>https://www.digikey.jp/ja/products/detail/yageo/RC0603FR-0710KL/726880</t>
    <phoneticPr fontId="18" type="noConversion"/>
  </si>
  <si>
    <t>R1</t>
    <phoneticPr fontId="18" type="noConversion"/>
  </si>
  <si>
    <t>Q1</t>
    <phoneticPr fontId="18" type="noConversion"/>
  </si>
  <si>
    <t>P1</t>
    <phoneticPr fontId="18" type="noConversion"/>
  </si>
  <si>
    <t>https://www.digikey.jp/ja/products/detail/microchip-technology/MCP6V02-E-MD/1635826</t>
    <phoneticPr fontId="18" type="noConversion"/>
  </si>
  <si>
    <t>O1</t>
    <phoneticPr fontId="18" type="noConversion"/>
  </si>
  <si>
    <t>https://www.digikey.jp/ja/products/detail/microchip-technology/AVR128DB32T-E-RXB/12807276</t>
    <phoneticPr fontId="18" type="noConversion"/>
  </si>
  <si>
    <t>AVR128DB32</t>
    <phoneticPr fontId="18" type="noConversion"/>
  </si>
  <si>
    <t>I3</t>
    <phoneticPr fontId="18" type="noConversion"/>
  </si>
  <si>
    <t>I2</t>
    <phoneticPr fontId="18" type="noConversion"/>
  </si>
  <si>
    <t>I1</t>
    <phoneticPr fontId="18" type="noConversion"/>
  </si>
  <si>
    <t>https://www.digikey.jp/ja/products/detail/murata-electronics/GRM188R60J476ME15D/5877410</t>
    <phoneticPr fontId="18" type="noConversion"/>
  </si>
  <si>
    <t>C8</t>
    <phoneticPr fontId="18" type="noConversion"/>
  </si>
  <si>
    <t>C6, C7</t>
    <phoneticPr fontId="18" type="noConversion"/>
  </si>
  <si>
    <t>C4, C5</t>
    <phoneticPr fontId="18" type="noConversion"/>
  </si>
  <si>
    <t>C1, C2, C3</t>
    <phoneticPr fontId="18" type="noConversion"/>
  </si>
  <si>
    <t>ICD01</t>
    <phoneticPr fontId="19"/>
  </si>
  <si>
    <t>STCC4-D-R3</t>
    <phoneticPr fontId="19"/>
  </si>
  <si>
    <t>Shenzhen Slkormicro Semicon Co., Ltd.</t>
    <phoneticPr fontId="18" type="noConversion"/>
  </si>
  <si>
    <t>Spec</t>
    <phoneticPr fontId="18" type="noConversion"/>
  </si>
  <si>
    <t>GCJ188R71H104KA12D</t>
    <phoneticPr fontId="18" type="noConversion"/>
  </si>
  <si>
    <t>0.1uF</t>
  </si>
  <si>
    <t>GRT188C80G105ME01J</t>
    <phoneticPr fontId="18" type="noConversion"/>
  </si>
  <si>
    <t>1uF</t>
  </si>
  <si>
    <t>GRM21BR61E106MA73L</t>
    <phoneticPr fontId="18" type="noConversion"/>
  </si>
  <si>
    <t>10uF</t>
  </si>
  <si>
    <t>GRM1885C1H220GA01J</t>
    <phoneticPr fontId="18" type="noConversion"/>
  </si>
  <si>
    <t>22pF</t>
  </si>
  <si>
    <t>GRM31CR61A107MEA8L</t>
    <phoneticPr fontId="18" type="noConversion"/>
  </si>
  <si>
    <t>100uF</t>
  </si>
  <si>
    <t>B1911USD-20D000114U1930</t>
    <phoneticPr fontId="18" type="noConversion"/>
  </si>
  <si>
    <t>Red LED</t>
    <phoneticPr fontId="18" type="noConversion"/>
  </si>
  <si>
    <t>Green LED</t>
    <phoneticPr fontId="18" type="noConversion"/>
  </si>
  <si>
    <t>B1911PG-20D000514U1930</t>
    <phoneticPr fontId="18" type="noConversion"/>
  </si>
  <si>
    <t>Blue LED</t>
    <phoneticPr fontId="18" type="noConversion"/>
  </si>
  <si>
    <t>B1911NB--20C005314U1930</t>
    <phoneticPr fontId="18" type="noConversion"/>
  </si>
  <si>
    <t>3.3V</t>
    <phoneticPr fontId="18" type="noConversion"/>
  </si>
  <si>
    <t>3.0V</t>
    <phoneticPr fontId="18" type="noConversion"/>
  </si>
  <si>
    <t>https://www.digikey.jp/ja/products/detail/texas-instruments/OPT3001DNPR/5039362</t>
    <phoneticPr fontId="18" type="noConversion"/>
  </si>
  <si>
    <t>Texas Instruments</t>
  </si>
  <si>
    <t>OPT3001</t>
    <phoneticPr fontId="18" type="noConversion"/>
  </si>
  <si>
    <t>RC0603FR-07510RL</t>
    <phoneticPr fontId="18" type="noConversion"/>
  </si>
  <si>
    <t>EXB-28V103JX</t>
    <phoneticPr fontId="18" type="noConversion"/>
  </si>
  <si>
    <t>Type C</t>
    <phoneticPr fontId="18" type="noConversion"/>
  </si>
  <si>
    <t>1 x 4 (2mm)</t>
    <phoneticPr fontId="18" type="noConversion"/>
  </si>
  <si>
    <t>32.768 kHz</t>
    <phoneticPr fontId="18" type="noConversion"/>
  </si>
  <si>
    <t>0.1 uF</t>
    <phoneticPr fontId="19"/>
  </si>
  <si>
    <t>CO2</t>
    <phoneticPr fontId="19"/>
  </si>
  <si>
    <t>1 x 4 (2mm)</t>
    <phoneticPr fontId="19"/>
  </si>
  <si>
    <t>10 uF</t>
    <phoneticPr fontId="19"/>
  </si>
  <si>
    <t>1 uF</t>
    <phoneticPr fontId="19"/>
  </si>
  <si>
    <t>47 uF</t>
    <phoneticPr fontId="19"/>
  </si>
  <si>
    <t>GRM188R60J476ME15D</t>
    <phoneticPr fontId="18" type="noConversion"/>
  </si>
  <si>
    <t>5.0 V</t>
    <phoneticPr fontId="19"/>
  </si>
  <si>
    <t>2.0 V</t>
    <phoneticPr fontId="19"/>
  </si>
  <si>
    <r>
      <t>10 k</t>
    </r>
    <r>
      <rPr>
        <sz val="12"/>
        <rFont val="Arial"/>
        <family val="2"/>
        <charset val="161"/>
      </rPr>
      <t>Ω</t>
    </r>
    <phoneticPr fontId="19"/>
  </si>
  <si>
    <r>
      <t xml:space="preserve">2.21 </t>
    </r>
    <r>
      <rPr>
        <sz val="12"/>
        <rFont val="Arial"/>
        <family val="2"/>
        <charset val="161"/>
      </rPr>
      <t>Ω</t>
    </r>
    <r>
      <rPr>
        <sz val="12"/>
        <rFont val="Arial"/>
        <family val="2"/>
      </rPr>
      <t>, 0.1%, 25ppm/C</t>
    </r>
    <phoneticPr fontId="19"/>
  </si>
  <si>
    <t>232 Ω, 0.1%, 10ppm/C</t>
    <phoneticPr fontId="19"/>
  </si>
  <si>
    <t>2.74 kΩ, 0.1%, 10ppm/C</t>
    <phoneticPr fontId="19"/>
  </si>
  <si>
    <t>15 kΩ, 0.1%, 10ppm/C</t>
    <phoneticPr fontId="19"/>
  </si>
  <si>
    <t>13 kΩ, 0.1%, 10ppm/C</t>
    <phoneticPr fontId="19"/>
  </si>
  <si>
    <t>4.7 kΩ</t>
    <phoneticPr fontId="19"/>
  </si>
  <si>
    <t>RC0603FR-074K7L</t>
    <phoneticPr fontId="18" type="noConversion"/>
  </si>
  <si>
    <t>RQ73C1J13KBTD</t>
    <phoneticPr fontId="19"/>
  </si>
  <si>
    <t>RQ73C1J15KBTD</t>
    <phoneticPr fontId="19"/>
  </si>
  <si>
    <t>RQ73C1J2K74BTD</t>
    <phoneticPr fontId="19"/>
  </si>
  <si>
    <t>RQ73C1J232RBTD</t>
    <phoneticPr fontId="19"/>
  </si>
  <si>
    <t>CPF0603B2R21E1</t>
    <phoneticPr fontId="19"/>
  </si>
  <si>
    <t>RC0603FR-0710KL</t>
    <phoneticPr fontId="18" type="noConversion"/>
  </si>
  <si>
    <t>SHT40-AD1B</t>
    <phoneticPr fontId="18" type="noConversion"/>
  </si>
  <si>
    <t>https://www.digikey.jp/ja/products/detail/microchip-technology/AVR64DU32-I-RXB/22611635</t>
    <phoneticPr fontId="18" type="noConversion"/>
  </si>
  <si>
    <t>https://www.digikey.jp/ja/products/detail/digi/XB3-24Z8CM-J/7688710</t>
    <phoneticPr fontId="18" type="noConversion"/>
  </si>
  <si>
    <t>https://www.digikey.jp/ja/products/detail/vishay-general-semiconductor-diodes-division/SE20AFJHM3-6A/4806668</t>
    <phoneticPr fontId="18" type="noConversion"/>
  </si>
  <si>
    <t>https://www.digikey.jp/ja/products/detail/toshiba-semiconductor-and-storage/TCR2EF30-LM-CT/4503181</t>
    <phoneticPr fontId="18" type="noConversion"/>
  </si>
  <si>
    <t>https://www.digikey.jp/ja/products/detail/torex-semiconductor-ltd/XCL103D333CR-G/7361187</t>
    <phoneticPr fontId="18" type="noConversion"/>
  </si>
  <si>
    <t>https://www.digikey.jp/ja/products/detail/murata-electronics/GRM1885C1H220GA01D/2611114</t>
    <phoneticPr fontId="18" type="noConversion"/>
  </si>
  <si>
    <t>https://www.digikey.jp/ja/products/detail/panasonic-electronic-components/EXB-28V103JX/256299</t>
    <phoneticPr fontId="18" type="noConversion"/>
  </si>
  <si>
    <t>https://www.digikey.jp/ja/products/detail/epson/FC-12M-32-7680KA-A5/5209189</t>
    <phoneticPr fontId="18" type="noConversion"/>
  </si>
  <si>
    <t>100 Ω</t>
    <phoneticPr fontId="18" type="noConversion"/>
  </si>
  <si>
    <t>510 Ω</t>
    <phoneticPr fontId="18" type="noConversion"/>
  </si>
  <si>
    <t>RN801, RN901, RN1</t>
    <phoneticPr fontId="18" type="noConversion"/>
  </si>
  <si>
    <t>10 kΩ x 4</t>
    <phoneticPr fontId="18" type="noConversion"/>
  </si>
  <si>
    <t>https://www.digikey.jp/ja/products/detail/winbond-electronics/W25Q256JVEIQ-TR/5803969</t>
    <phoneticPr fontId="18" type="noConversion"/>
  </si>
  <si>
    <t>256 Mbit</t>
    <phoneticPr fontId="18" type="noConversion"/>
  </si>
  <si>
    <t>W25Q256JVEIQ</t>
    <phoneticPr fontId="18" type="noConversion"/>
  </si>
  <si>
    <t>https://www.lcsc.com/product-detail/C42379203.html</t>
    <phoneticPr fontId="18" type="noConversion"/>
  </si>
  <si>
    <t>hanxia</t>
    <phoneticPr fontId="18" type="noConversion"/>
  </si>
  <si>
    <t>MYOUNG</t>
    <phoneticPr fontId="18" type="noConversion"/>
  </si>
  <si>
    <t>G-Switch</t>
    <phoneticPr fontId="18" type="noConversion"/>
  </si>
  <si>
    <t>MK-12C02-G025</t>
  </si>
  <si>
    <t>https://www.lcsc.com/product-detail/C778186.html</t>
    <phoneticPr fontId="18" type="noConversion"/>
  </si>
  <si>
    <t>HX PM2.0-1x4P TP-YQ</t>
    <phoneticPr fontId="18" type="noConversion"/>
  </si>
  <si>
    <t>1 x 4 (2mm)</t>
  </si>
  <si>
    <t>TYPE-C-31-M-14</t>
    <phoneticPr fontId="18" type="noConversion"/>
  </si>
  <si>
    <t>Korean Hroparts Elec</t>
    <phoneticPr fontId="18" type="noConversion"/>
  </si>
  <si>
    <t>https://www.lcsc.com/product-detail/C223907.html</t>
    <phoneticPr fontId="18" type="noConversion"/>
  </si>
  <si>
    <t>C804, C805</t>
    <phoneticPr fontId="18" type="noConversion"/>
  </si>
  <si>
    <t>IC201</t>
    <phoneticPr fontId="18" type="noConversion"/>
  </si>
  <si>
    <t>https://www.digikey.jp/ja/products/detail/te-connectivity-passive-product/RQ73C1J232RBTD/9480531</t>
    <phoneticPr fontId="19"/>
  </si>
  <si>
    <t>D1</t>
    <phoneticPr fontId="19"/>
  </si>
  <si>
    <t>https://www.lcsc.com/product-detail/C393373.html</t>
    <phoneticPr fontId="18" type="noConversion"/>
  </si>
  <si>
    <t>onsemi</t>
    <phoneticPr fontId="18" type="noConversion"/>
  </si>
  <si>
    <t>NUP2114UCMR6T1G</t>
    <phoneticPr fontId="18" type="noConversion"/>
  </si>
  <si>
    <t>https://www.digikey.jp/ja/products/detail/sensirion-ag/SHT40-AD1B-R3/14322709</t>
    <phoneticPr fontId="19"/>
  </si>
  <si>
    <t>https://www.digikey.jp/ja/products/detail/sensirion-ag/STCC4-D-R3/26769073</t>
    <phoneticPr fontId="19"/>
  </si>
  <si>
    <t>GCM188R71H104KA57D</t>
    <phoneticPr fontId="18" type="noConversion"/>
  </si>
  <si>
    <t>https://www.lcsc.com/product-detail/C85864.html</t>
    <phoneticPr fontId="18" type="noConversion"/>
  </si>
  <si>
    <t>JSCJ</t>
    <phoneticPr fontId="19"/>
  </si>
  <si>
    <t>JSCJ MMBT3904(RANGE:100-300)</t>
    <phoneticPr fontId="19"/>
  </si>
  <si>
    <t>https://www.lcsc.com/product-detail/C20526.html</t>
    <phoneticPr fontId="18" type="noConversion"/>
  </si>
  <si>
    <t>Samsung Electro-Mechanics</t>
    <phoneticPr fontId="18" type="noConversion"/>
  </si>
  <si>
    <t>CL21A106KAYNNNE</t>
    <phoneticPr fontId="18" type="noConversion"/>
  </si>
  <si>
    <t>https://www.lcsc.com/product-detail/C15850.html</t>
    <phoneticPr fontId="18" type="noConversion"/>
  </si>
  <si>
    <t>CL10A105KB8NNNC</t>
    <phoneticPr fontId="18" type="noConversion"/>
  </si>
  <si>
    <t>https://www.lcsc.com/product-detail/C15849.html</t>
    <phoneticPr fontId="18" type="noConversion"/>
  </si>
  <si>
    <t>TCR3UF20A,LM(CT</t>
    <phoneticPr fontId="18" type="noConversion"/>
  </si>
  <si>
    <t>https://www.lcsc.com/product-detail/C7067134.html</t>
    <phoneticPr fontId="19"/>
  </si>
  <si>
    <t>XCL103D503CR-G</t>
    <phoneticPr fontId="18" type="noConversion"/>
  </si>
  <si>
    <t>https://www.lcsc.com/product-detail/C5439677.html</t>
    <phoneticPr fontId="18" type="noConversion"/>
  </si>
  <si>
    <t>XKB Connection</t>
    <phoneticPr fontId="19"/>
  </si>
  <si>
    <t>XKB Connection</t>
    <phoneticPr fontId="18" type="noConversion"/>
  </si>
  <si>
    <t>X4611WRS-04I-C40D28</t>
    <phoneticPr fontId="18" type="noConversion"/>
  </si>
  <si>
    <t>X4611WRS-04I-C40D28</t>
    <phoneticPr fontId="19"/>
  </si>
  <si>
    <t>https://www.lcsc.com/product-detail/C917591.html</t>
    <phoneticPr fontId="19"/>
  </si>
  <si>
    <t>YAGEO</t>
    <phoneticPr fontId="19"/>
  </si>
  <si>
    <t>https://www.lcsc.com/product-detail/C99782.html</t>
    <phoneticPr fontId="18" type="noConversion"/>
  </si>
  <si>
    <t>https://www.lcsc.com/product-detail/C5290182.html</t>
    <phoneticPr fontId="18" type="noConversion"/>
  </si>
  <si>
    <t>BH-AA-B5BA015</t>
    <phoneticPr fontId="18" type="noConversion"/>
  </si>
  <si>
    <t>AVR128DB32-I/RXB</t>
    <phoneticPr fontId="19"/>
  </si>
  <si>
    <t>https://www.lcsc.com/product-detail/C3225665.html</t>
    <phoneticPr fontId="18" type="noConversion"/>
  </si>
  <si>
    <t>SV2</t>
    <phoneticPr fontId="18" type="noConversion"/>
  </si>
  <si>
    <t>IC901, ICB01</t>
    <phoneticPr fontId="18" type="noConversion"/>
  </si>
  <si>
    <t>RN1</t>
    <phoneticPr fontId="18" type="noConversion"/>
  </si>
  <si>
    <t>IC801</t>
    <phoneticPr fontId="18" type="noConversion"/>
  </si>
  <si>
    <t>C901B, CB01, CB02</t>
    <phoneticPr fontId="18" type="noConversion"/>
  </si>
  <si>
    <t>MCP6V02-E/MD</t>
    <phoneticPr fontId="19"/>
  </si>
  <si>
    <t>SV1</t>
    <phoneticPr fontId="18" type="noConversion"/>
  </si>
  <si>
    <t>BT1</t>
    <phoneticPr fontId="18" type="noConversion"/>
  </si>
  <si>
    <t>D803, D804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</si>
</sst>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8" formatCode="&quot;¥&quot;#,##0.00;[Red]&quot;¥&quot;\-#,##0.00"/>
    <numFmt numFmtId="176" formatCode="#,##0_ ;[Red]\-#,##0\ "/>
  </numFmts>
  <fonts count="25" x14ac:knownFonts="1">
    <font>
      <sz val="12"/>
      <color theme="1"/>
      <name val="游ゴシック"/>
      <family val="2"/>
      <charset val="134"/>
      <scheme val="minor"/>
    </font>
    <font>
      <sz val="12"/>
      <color theme="1"/>
      <name val="游ゴシック"/>
      <family val="2"/>
      <charset val="134"/>
      <scheme val="minor"/>
    </font>
    <font>
      <sz val="18"/>
      <color theme="3"/>
      <name val="游ゴシック Light"/>
      <family val="2"/>
      <charset val="134"/>
      <scheme val="major"/>
    </font>
    <font>
      <b/>
      <sz val="15"/>
      <color theme="3"/>
      <name val="游ゴシック"/>
      <family val="2"/>
      <charset val="134"/>
      <scheme val="minor"/>
    </font>
    <font>
      <b/>
      <sz val="13"/>
      <color theme="3"/>
      <name val="游ゴシック"/>
      <family val="2"/>
      <charset val="134"/>
      <scheme val="minor"/>
    </font>
    <font>
      <b/>
      <sz val="11"/>
      <color theme="3"/>
      <name val="游ゴシック"/>
      <family val="2"/>
      <charset val="134"/>
      <scheme val="minor"/>
    </font>
    <font>
      <sz val="12"/>
      <color rgb="FF006100"/>
      <name val="游ゴシック"/>
      <family val="2"/>
      <charset val="134"/>
      <scheme val="minor"/>
    </font>
    <font>
      <sz val="12"/>
      <color rgb="FF9C0006"/>
      <name val="游ゴシック"/>
      <family val="2"/>
      <charset val="134"/>
      <scheme val="minor"/>
    </font>
    <font>
      <sz val="12"/>
      <color rgb="FF9C5700"/>
      <name val="游ゴシック"/>
      <family val="2"/>
      <charset val="134"/>
      <scheme val="minor"/>
    </font>
    <font>
      <sz val="12"/>
      <color rgb="FF3F3F76"/>
      <name val="游ゴシック"/>
      <family val="2"/>
      <charset val="134"/>
      <scheme val="minor"/>
    </font>
    <font>
      <b/>
      <sz val="12"/>
      <color rgb="FF3F3F3F"/>
      <name val="游ゴシック"/>
      <family val="2"/>
      <charset val="134"/>
      <scheme val="minor"/>
    </font>
    <font>
      <b/>
      <sz val="12"/>
      <color rgb="FFFA7D00"/>
      <name val="游ゴシック"/>
      <family val="2"/>
      <charset val="134"/>
      <scheme val="minor"/>
    </font>
    <font>
      <sz val="12"/>
      <color rgb="FFFA7D00"/>
      <name val="游ゴシック"/>
      <family val="2"/>
      <charset val="134"/>
      <scheme val="minor"/>
    </font>
    <font>
      <b/>
      <sz val="12"/>
      <color theme="0"/>
      <name val="游ゴシック"/>
      <family val="2"/>
      <charset val="134"/>
      <scheme val="minor"/>
    </font>
    <font>
      <sz val="12"/>
      <color rgb="FFFF0000"/>
      <name val="游ゴシック"/>
      <family val="2"/>
      <charset val="134"/>
      <scheme val="minor"/>
    </font>
    <font>
      <i/>
      <sz val="12"/>
      <color rgb="FF7F7F7F"/>
      <name val="游ゴシック"/>
      <family val="2"/>
      <charset val="134"/>
      <scheme val="minor"/>
    </font>
    <font>
      <b/>
      <sz val="12"/>
      <color theme="1"/>
      <name val="游ゴシック"/>
      <family val="2"/>
      <charset val="134"/>
      <scheme val="minor"/>
    </font>
    <font>
      <sz val="12"/>
      <color theme="0"/>
      <name val="游ゴシック"/>
      <family val="2"/>
      <charset val="134"/>
      <scheme val="minor"/>
    </font>
    <font>
      <sz val="9"/>
      <name val="游ゴシック"/>
      <family val="2"/>
      <charset val="134"/>
      <scheme val="minor"/>
    </font>
    <font>
      <sz val="6"/>
      <name val="游ゴシック"/>
      <family val="3"/>
      <charset val="128"/>
      <scheme val="minor"/>
    </font>
    <font>
      <sz val="12"/>
      <name val="Arial"/>
      <family val="2"/>
    </font>
    <font>
      <sz val="12"/>
      <name val="ＭＳ ゴシック"/>
      <family val="2"/>
      <charset val="128"/>
    </font>
    <font>
      <sz val="12"/>
      <name val="Arial"/>
      <family val="2"/>
      <charset val="161"/>
    </font>
    <font>
      <sz val="13"/>
      <name val="Arial"/>
      <family val="2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20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vertical="top"/>
    </xf>
    <xf numFmtId="0" fontId="20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/>
    </xf>
    <xf numFmtId="176" fontId="20" fillId="0" borderId="10" xfId="42" applyNumberFormat="1" applyFont="1" applyFill="1" applyBorder="1" applyAlignment="1">
      <alignment horizontal="left" vertical="top"/>
    </xf>
    <xf numFmtId="0" fontId="20" fillId="0" borderId="10" xfId="0" applyFont="1" applyBorder="1" applyAlignment="1">
      <alignment horizontal="center" vertical="top"/>
    </xf>
    <xf numFmtId="0" fontId="20" fillId="0" borderId="0" xfId="0" applyFont="1" applyAlignme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10" xfId="43" applyFont="1" applyBorder="1" applyAlignment="1">
      <alignment horizontal="left" vertical="top"/>
    </xf>
    <xf numFmtId="0" fontId="20" fillId="33" borderId="10" xfId="0" applyFont="1" applyFill="1" applyBorder="1" applyAlignment="1">
      <alignment horizontal="center" vertical="center"/>
    </xf>
    <xf numFmtId="0" fontId="23" fillId="33" borderId="11" xfId="0" applyFont="1" applyFill="1" applyBorder="1" applyAlignment="1">
      <alignment horizontal="center" vertical="center"/>
    </xf>
    <xf numFmtId="0" fontId="21" fillId="0" borderId="0" xfId="0" applyFont="1" applyAlignment="1">
      <alignment horizontal="right"/>
    </xf>
    <xf numFmtId="8" fontId="20" fillId="0" borderId="0" xfId="0" applyNumberFormat="1" applyFont="1" applyAlignment="1"/>
    <xf numFmtId="0" fontId="24" fillId="0" borderId="10" xfId="43" applyFont="1" applyBorder="1" applyAlignment="1">
      <alignment horizontal="left" vertical="top"/>
    </xf>
    <xf numFmtId="0" fontId="23" fillId="33" borderId="10" xfId="0" applyFont="1" applyFill="1" applyBorder="1" applyAlignment="1">
      <alignment horizontal="center" vertical="center"/>
    </xf>
    <xf numFmtId="0" fontId="21" fillId="0" borderId="0" xfId="0" applyFont="1" applyAlignment="1"/>
    <xf numFmtId="0" fontId="20" fillId="33" borderId="11" xfId="0" applyFont="1" applyFill="1" applyBorder="1" applyAlignment="1">
      <alignment horizontal="center"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通貨" xfId="42" builtinId="7"/>
    <cellStyle name="入力" xfId="9" builtinId="20" customBuiltin="1"/>
    <cellStyle name="標準" xfId="0" builtinId="0"/>
    <cellStyle name="標準 2" xfId="43" xr:uid="{EF6BEEF2-5400-4F69-BBD3-179E52FF52A4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3BD8-2779-45F6-AE49-6AE2C3B11080}">
  <dimension ref="A1:G30"/>
  <sheetViews>
    <sheetView tabSelected="1" view="pageBreakPreview" zoomScale="115" zoomScaleNormal="80" zoomScaleSheetLayoutView="115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A2" sqref="A2:A28"/>
    </sheetView>
  </sheetViews>
  <sheetFormatPr defaultColWidth="11" defaultRowHeight="15" x14ac:dyDescent="0.5"/>
  <cols>
    <col min="1" max="1" width="3.7265625" style="7" bestFit="1" customWidth="1"/>
    <col min="2" max="2" width="35.54296875" style="8" bestFit="1" customWidth="1"/>
    <col min="3" max="3" width="4.26953125" style="8" customWidth="1"/>
    <col min="4" max="5" width="38.26953125" style="9" customWidth="1"/>
    <col min="6" max="6" width="14.86328125" style="9" customWidth="1"/>
    <col min="7" max="7" width="27.7265625" style="8" customWidth="1"/>
    <col min="8" max="16384" width="11" style="7"/>
  </cols>
  <sheetData>
    <row r="1" spans="1:7" ht="21" customHeight="1" x14ac:dyDescent="0.5">
      <c r="A1" s="11" t="s">
        <v>29</v>
      </c>
      <c r="B1" s="16" t="s">
        <v>0</v>
      </c>
      <c r="C1" s="16" t="s">
        <v>1</v>
      </c>
      <c r="D1" s="16" t="s">
        <v>13</v>
      </c>
      <c r="E1" s="16" t="s">
        <v>4</v>
      </c>
      <c r="F1" s="16" t="s">
        <v>100</v>
      </c>
      <c r="G1" s="16" t="s">
        <v>2</v>
      </c>
    </row>
    <row r="2" spans="1:7" x14ac:dyDescent="0.5">
      <c r="A2" s="6">
        <v>1</v>
      </c>
      <c r="B2" s="1" t="s">
        <v>218</v>
      </c>
      <c r="C2" s="4">
        <v>1</v>
      </c>
      <c r="D2" s="2" t="s">
        <v>168</v>
      </c>
      <c r="E2" s="2" t="s">
        <v>208</v>
      </c>
      <c r="F2" s="2"/>
      <c r="G2" s="2" t="s">
        <v>207</v>
      </c>
    </row>
    <row r="3" spans="1:7" x14ac:dyDescent="0.5">
      <c r="A3" s="6">
        <v>2</v>
      </c>
      <c r="B3" s="3" t="s">
        <v>67</v>
      </c>
      <c r="C3" s="4">
        <f t="shared" ref="C3:C28" si="0">LEN(B3) - LEN(SUBSTITUTE(B3,",",""))+1</f>
        <v>6</v>
      </c>
      <c r="D3" s="2" t="s">
        <v>6</v>
      </c>
      <c r="E3" s="2" t="s">
        <v>101</v>
      </c>
      <c r="F3" s="2" t="s">
        <v>102</v>
      </c>
      <c r="G3" s="2" t="s">
        <v>14</v>
      </c>
    </row>
    <row r="4" spans="1:7" x14ac:dyDescent="0.5">
      <c r="A4" s="6">
        <v>3</v>
      </c>
      <c r="B4" s="1" t="s">
        <v>69</v>
      </c>
      <c r="C4" s="4">
        <f t="shared" si="0"/>
        <v>1</v>
      </c>
      <c r="D4" s="2" t="s">
        <v>6</v>
      </c>
      <c r="E4" s="2" t="s">
        <v>103</v>
      </c>
      <c r="F4" s="2" t="s">
        <v>104</v>
      </c>
      <c r="G4" s="2" t="s">
        <v>17</v>
      </c>
    </row>
    <row r="5" spans="1:7" x14ac:dyDescent="0.5">
      <c r="A5" s="6">
        <v>4</v>
      </c>
      <c r="B5" s="1" t="s">
        <v>64</v>
      </c>
      <c r="C5" s="4">
        <f>LEN(B5) - LEN(SUBSTITUTE(B5,",",""))+1</f>
        <v>3</v>
      </c>
      <c r="D5" s="2" t="s">
        <v>6</v>
      </c>
      <c r="E5" s="2" t="s">
        <v>109</v>
      </c>
      <c r="F5" s="2" t="s">
        <v>110</v>
      </c>
      <c r="G5" s="2" t="s">
        <v>65</v>
      </c>
    </row>
    <row r="6" spans="1:7" x14ac:dyDescent="0.5">
      <c r="A6" s="6">
        <v>5</v>
      </c>
      <c r="B6" s="1" t="s">
        <v>70</v>
      </c>
      <c r="C6" s="4">
        <f t="shared" si="0"/>
        <v>2</v>
      </c>
      <c r="D6" s="2" t="s">
        <v>33</v>
      </c>
      <c r="E6" s="2" t="s">
        <v>105</v>
      </c>
      <c r="F6" s="2" t="s">
        <v>106</v>
      </c>
      <c r="G6" s="2" t="s">
        <v>38</v>
      </c>
    </row>
    <row r="7" spans="1:7" x14ac:dyDescent="0.5">
      <c r="A7" s="6">
        <v>6</v>
      </c>
      <c r="B7" s="1" t="s">
        <v>177</v>
      </c>
      <c r="C7" s="4">
        <f t="shared" si="0"/>
        <v>2</v>
      </c>
      <c r="D7" s="2" t="s">
        <v>6</v>
      </c>
      <c r="E7" s="2" t="s">
        <v>107</v>
      </c>
      <c r="F7" s="2" t="s">
        <v>108</v>
      </c>
      <c r="G7" s="2" t="s">
        <v>156</v>
      </c>
    </row>
    <row r="8" spans="1:7" x14ac:dyDescent="0.5">
      <c r="A8" s="6">
        <v>7</v>
      </c>
      <c r="B8" s="1" t="s">
        <v>180</v>
      </c>
      <c r="C8" s="4">
        <f>LEN(B8) - LEN(SUBSTITUTE(B8,",",""))+1</f>
        <v>1</v>
      </c>
      <c r="D8" s="2" t="s">
        <v>182</v>
      </c>
      <c r="E8" s="2" t="s">
        <v>183</v>
      </c>
      <c r="F8" s="2"/>
      <c r="G8" s="2" t="s">
        <v>181</v>
      </c>
    </row>
    <row r="9" spans="1:7" x14ac:dyDescent="0.5">
      <c r="A9" s="6">
        <v>8</v>
      </c>
      <c r="B9" s="1" t="s">
        <v>20</v>
      </c>
      <c r="C9" s="4">
        <f t="shared" si="0"/>
        <v>1</v>
      </c>
      <c r="D9" s="2" t="s">
        <v>9</v>
      </c>
      <c r="E9" s="2" t="s">
        <v>28</v>
      </c>
      <c r="F9" s="2"/>
      <c r="G9" s="2" t="s">
        <v>153</v>
      </c>
    </row>
    <row r="10" spans="1:7" x14ac:dyDescent="0.5">
      <c r="A10" s="6">
        <v>9</v>
      </c>
      <c r="B10" s="1" t="s">
        <v>44</v>
      </c>
      <c r="C10" s="4">
        <f t="shared" si="0"/>
        <v>1</v>
      </c>
      <c r="D10" s="2" t="s">
        <v>15</v>
      </c>
      <c r="E10" s="2" t="s">
        <v>111</v>
      </c>
      <c r="F10" s="2" t="s">
        <v>112</v>
      </c>
      <c r="G10" s="2" t="s">
        <v>46</v>
      </c>
    </row>
    <row r="11" spans="1:7" x14ac:dyDescent="0.5">
      <c r="A11" s="6">
        <v>10</v>
      </c>
      <c r="B11" s="1" t="s">
        <v>34</v>
      </c>
      <c r="C11" s="4">
        <f t="shared" si="0"/>
        <v>1</v>
      </c>
      <c r="D11" s="2" t="s">
        <v>15</v>
      </c>
      <c r="E11" s="2" t="s">
        <v>114</v>
      </c>
      <c r="F11" s="2" t="s">
        <v>113</v>
      </c>
      <c r="G11" s="2" t="s">
        <v>16</v>
      </c>
    </row>
    <row r="12" spans="1:7" x14ac:dyDescent="0.5">
      <c r="A12" s="6">
        <v>11</v>
      </c>
      <c r="B12" s="1" t="s">
        <v>219</v>
      </c>
      <c r="C12" s="4">
        <f t="shared" si="0"/>
        <v>2</v>
      </c>
      <c r="D12" s="2" t="s">
        <v>99</v>
      </c>
      <c r="E12" s="2" t="s">
        <v>55</v>
      </c>
      <c r="F12" s="2"/>
      <c r="G12" s="2" t="s">
        <v>59</v>
      </c>
    </row>
    <row r="13" spans="1:7" x14ac:dyDescent="0.5">
      <c r="A13" s="6">
        <v>12</v>
      </c>
      <c r="B13" s="1" t="s">
        <v>35</v>
      </c>
      <c r="C13" s="4">
        <f t="shared" si="0"/>
        <v>1</v>
      </c>
      <c r="D13" s="2" t="s">
        <v>15</v>
      </c>
      <c r="E13" s="2" t="s">
        <v>116</v>
      </c>
      <c r="F13" s="2" t="s">
        <v>115</v>
      </c>
      <c r="G13" s="2" t="s">
        <v>47</v>
      </c>
    </row>
    <row r="14" spans="1:7" x14ac:dyDescent="0.5">
      <c r="A14" s="6">
        <v>13</v>
      </c>
      <c r="B14" s="1" t="s">
        <v>21</v>
      </c>
      <c r="C14" s="4">
        <f t="shared" si="0"/>
        <v>1</v>
      </c>
      <c r="D14" s="2" t="s">
        <v>19</v>
      </c>
      <c r="E14" s="2" t="s">
        <v>18</v>
      </c>
      <c r="F14" s="2"/>
      <c r="G14" s="2" t="s">
        <v>22</v>
      </c>
    </row>
    <row r="15" spans="1:7" x14ac:dyDescent="0.5">
      <c r="A15" s="6">
        <v>14</v>
      </c>
      <c r="B15" s="1" t="s">
        <v>39</v>
      </c>
      <c r="C15" s="4">
        <f t="shared" si="0"/>
        <v>1</v>
      </c>
      <c r="D15" s="2" t="s">
        <v>40</v>
      </c>
      <c r="E15" s="2" t="s">
        <v>43</v>
      </c>
      <c r="F15" s="2" t="s">
        <v>118</v>
      </c>
      <c r="G15" s="2" t="s">
        <v>154</v>
      </c>
    </row>
    <row r="16" spans="1:7" x14ac:dyDescent="0.5">
      <c r="A16" s="6">
        <v>15</v>
      </c>
      <c r="B16" s="1" t="s">
        <v>178</v>
      </c>
      <c r="C16" s="4">
        <f t="shared" si="0"/>
        <v>1</v>
      </c>
      <c r="D16" s="2" t="s">
        <v>36</v>
      </c>
      <c r="E16" s="2" t="s">
        <v>41</v>
      </c>
      <c r="F16" s="2" t="s">
        <v>117</v>
      </c>
      <c r="G16" s="2" t="s">
        <v>155</v>
      </c>
    </row>
    <row r="17" spans="1:7" x14ac:dyDescent="0.5">
      <c r="A17" s="6">
        <v>16</v>
      </c>
      <c r="B17" s="1" t="s">
        <v>48</v>
      </c>
      <c r="C17" s="4">
        <f t="shared" si="0"/>
        <v>1</v>
      </c>
      <c r="D17" s="2" t="s">
        <v>5</v>
      </c>
      <c r="E17" s="2" t="s">
        <v>52</v>
      </c>
      <c r="F17" s="2"/>
      <c r="G17" s="2" t="s">
        <v>151</v>
      </c>
    </row>
    <row r="18" spans="1:7" x14ac:dyDescent="0.5">
      <c r="A18" s="6">
        <v>17</v>
      </c>
      <c r="B18" s="1" t="s">
        <v>30</v>
      </c>
      <c r="C18" s="4">
        <f t="shared" si="0"/>
        <v>1</v>
      </c>
      <c r="D18" s="2" t="s">
        <v>120</v>
      </c>
      <c r="E18" s="2" t="s">
        <v>121</v>
      </c>
      <c r="F18" s="2"/>
      <c r="G18" s="2" t="s">
        <v>119</v>
      </c>
    </row>
    <row r="19" spans="1:7" x14ac:dyDescent="0.5">
      <c r="A19" s="6">
        <v>18</v>
      </c>
      <c r="B19" s="1" t="s">
        <v>32</v>
      </c>
      <c r="C19" s="4">
        <f t="shared" si="0"/>
        <v>1</v>
      </c>
      <c r="D19" s="5" t="s">
        <v>27</v>
      </c>
      <c r="E19" s="5" t="s">
        <v>26</v>
      </c>
      <c r="F19" s="5"/>
      <c r="G19" s="2" t="s">
        <v>152</v>
      </c>
    </row>
    <row r="20" spans="1:7" x14ac:dyDescent="0.5">
      <c r="A20" s="6">
        <v>19</v>
      </c>
      <c r="B20" s="1" t="s">
        <v>51</v>
      </c>
      <c r="C20" s="4">
        <f t="shared" si="0"/>
        <v>1</v>
      </c>
      <c r="D20" s="5" t="s">
        <v>175</v>
      </c>
      <c r="E20" s="5" t="s">
        <v>174</v>
      </c>
      <c r="F20" s="5" t="s">
        <v>124</v>
      </c>
      <c r="G20" s="5" t="s">
        <v>176</v>
      </c>
    </row>
    <row r="21" spans="1:7" x14ac:dyDescent="0.5">
      <c r="A21" s="6">
        <v>20</v>
      </c>
      <c r="B21" s="1" t="s">
        <v>56</v>
      </c>
      <c r="C21" s="4">
        <f t="shared" si="0"/>
        <v>1</v>
      </c>
      <c r="D21" s="15" t="s">
        <v>63</v>
      </c>
      <c r="E21" s="15" t="s">
        <v>57</v>
      </c>
      <c r="F21" s="15" t="s">
        <v>159</v>
      </c>
      <c r="G21" s="2" t="s">
        <v>58</v>
      </c>
    </row>
    <row r="22" spans="1:7" x14ac:dyDescent="0.5">
      <c r="A22" s="6">
        <v>21</v>
      </c>
      <c r="B22" s="1" t="s">
        <v>37</v>
      </c>
      <c r="C22" s="4">
        <f t="shared" si="0"/>
        <v>3</v>
      </c>
      <c r="D22" s="2" t="s">
        <v>8</v>
      </c>
      <c r="E22" s="2" t="s">
        <v>122</v>
      </c>
      <c r="F22" s="2" t="s">
        <v>160</v>
      </c>
      <c r="G22" s="2" t="s">
        <v>45</v>
      </c>
    </row>
    <row r="23" spans="1:7" x14ac:dyDescent="0.5">
      <c r="A23" s="6">
        <v>22</v>
      </c>
      <c r="B23" s="1" t="s">
        <v>161</v>
      </c>
      <c r="C23" s="4">
        <f t="shared" si="0"/>
        <v>3</v>
      </c>
      <c r="D23" s="2" t="s">
        <v>12</v>
      </c>
      <c r="E23" s="2" t="s">
        <v>123</v>
      </c>
      <c r="F23" s="2" t="s">
        <v>162</v>
      </c>
      <c r="G23" s="2" t="s">
        <v>157</v>
      </c>
    </row>
    <row r="24" spans="1:7" x14ac:dyDescent="0.5">
      <c r="A24" s="6">
        <v>23</v>
      </c>
      <c r="B24" s="1" t="s">
        <v>68</v>
      </c>
      <c r="C24" s="4">
        <f t="shared" si="0"/>
        <v>2</v>
      </c>
      <c r="D24" s="2" t="s">
        <v>167</v>
      </c>
      <c r="E24" s="2" t="s">
        <v>172</v>
      </c>
      <c r="F24" s="2" t="s">
        <v>125</v>
      </c>
      <c r="G24" s="2" t="s">
        <v>166</v>
      </c>
    </row>
    <row r="25" spans="1:7" x14ac:dyDescent="0.5">
      <c r="A25" s="6">
        <v>24</v>
      </c>
      <c r="B25" s="1" t="s">
        <v>24</v>
      </c>
      <c r="C25" s="4">
        <f t="shared" si="0"/>
        <v>1</v>
      </c>
      <c r="D25" s="2" t="s">
        <v>169</v>
      </c>
      <c r="E25" s="2" t="s">
        <v>170</v>
      </c>
      <c r="F25" s="2"/>
      <c r="G25" s="2" t="s">
        <v>171</v>
      </c>
    </row>
    <row r="26" spans="1:7" x14ac:dyDescent="0.5">
      <c r="A26" s="6">
        <v>25</v>
      </c>
      <c r="B26" s="1" t="s">
        <v>66</v>
      </c>
      <c r="C26" s="4">
        <f t="shared" si="0"/>
        <v>1</v>
      </c>
      <c r="D26" s="2" t="s">
        <v>25</v>
      </c>
      <c r="E26" s="2" t="s">
        <v>11</v>
      </c>
      <c r="F26" s="2"/>
      <c r="G26" s="2"/>
    </row>
    <row r="27" spans="1:7" x14ac:dyDescent="0.5">
      <c r="A27" s="6">
        <v>26</v>
      </c>
      <c r="B27" s="1" t="s">
        <v>49</v>
      </c>
      <c r="C27" s="4">
        <f t="shared" si="0"/>
        <v>1</v>
      </c>
      <c r="D27" s="2" t="s">
        <v>50</v>
      </c>
      <c r="E27" s="2" t="s">
        <v>165</v>
      </c>
      <c r="F27" s="2" t="s">
        <v>164</v>
      </c>
      <c r="G27" s="2" t="s">
        <v>163</v>
      </c>
    </row>
    <row r="28" spans="1:7" x14ac:dyDescent="0.5">
      <c r="A28" s="6">
        <v>27</v>
      </c>
      <c r="B28" s="1" t="s">
        <v>31</v>
      </c>
      <c r="C28" s="4">
        <f t="shared" si="0"/>
        <v>1</v>
      </c>
      <c r="D28" s="2" t="s">
        <v>7</v>
      </c>
      <c r="E28" s="2" t="s">
        <v>10</v>
      </c>
      <c r="F28" s="2" t="s">
        <v>126</v>
      </c>
      <c r="G28" s="2" t="s">
        <v>158</v>
      </c>
    </row>
    <row r="30" spans="1:7" x14ac:dyDescent="0.5">
      <c r="D30" s="17"/>
    </row>
  </sheetData>
  <phoneticPr fontId="18" type="noConversion"/>
  <pageMargins left="0.70866141732283472" right="0.70866141732283472" top="0.74803149606299213" bottom="0.74803149606299213" header="0.31496062992125984" footer="0.31496062992125984"/>
  <pageSetup paperSize="9" scale="66" orientation="landscape" verticalDpi="0" r:id="rId1"/>
  <colBreaks count="1" manualBreakCount="1">
    <brk id="6" max="2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A7A7-E5B5-43A4-83E6-13376124CF67}">
  <dimension ref="A1:I29"/>
  <sheetViews>
    <sheetView view="pageBreakPreview" zoomScale="85" zoomScaleNormal="80" zoomScaleSheetLayoutView="85" workbookViewId="0">
      <pane xSplit="2" ySplit="1" topLeftCell="E8" activePane="bottomRight" state="frozen"/>
      <selection pane="topRight" activeCell="C1" sqref="C1"/>
      <selection pane="bottomLeft" activeCell="A3" sqref="A3"/>
      <selection pane="bottomRight" activeCell="B20" sqref="B20"/>
    </sheetView>
  </sheetViews>
  <sheetFormatPr defaultColWidth="11" defaultRowHeight="15" x14ac:dyDescent="0.5"/>
  <cols>
    <col min="1" max="1" width="3.7265625" style="7" bestFit="1" customWidth="1"/>
    <col min="2" max="2" width="10.453125" style="7" bestFit="1" customWidth="1"/>
    <col min="3" max="3" width="6.31640625" style="8" bestFit="1" customWidth="1"/>
    <col min="4" max="4" width="38.26953125" style="9" customWidth="1"/>
    <col min="5" max="5" width="22.6328125" style="9" bestFit="1" customWidth="1"/>
    <col min="6" max="6" width="21.1328125" style="9" bestFit="1" customWidth="1"/>
    <col min="7" max="7" width="27.7265625" style="8" customWidth="1"/>
    <col min="8" max="16384" width="11" style="7"/>
  </cols>
  <sheetData>
    <row r="1" spans="1:9" ht="21" customHeight="1" x14ac:dyDescent="0.5">
      <c r="A1" s="11" t="s">
        <v>29</v>
      </c>
      <c r="B1" s="11" t="s">
        <v>0</v>
      </c>
      <c r="C1" s="11" t="s">
        <v>1</v>
      </c>
      <c r="D1" s="11" t="s">
        <v>13</v>
      </c>
      <c r="E1" s="11" t="s">
        <v>4</v>
      </c>
      <c r="F1" s="12" t="s">
        <v>100</v>
      </c>
      <c r="G1" s="11" t="s">
        <v>2</v>
      </c>
    </row>
    <row r="2" spans="1:9" x14ac:dyDescent="0.5">
      <c r="A2" s="6">
        <v>1</v>
      </c>
      <c r="B2" s="6" t="s">
        <v>96</v>
      </c>
      <c r="C2" s="4">
        <f t="shared" ref="C2:C20" si="0">LEN(B2) - LEN(SUBSTITUTE(B2,",",""))+1</f>
        <v>3</v>
      </c>
      <c r="D2" s="2" t="s">
        <v>6</v>
      </c>
      <c r="E2" s="2" t="s">
        <v>186</v>
      </c>
      <c r="F2" s="2" t="s">
        <v>127</v>
      </c>
      <c r="G2" s="2" t="s">
        <v>187</v>
      </c>
      <c r="I2" s="14"/>
    </row>
    <row r="3" spans="1:9" x14ac:dyDescent="0.5">
      <c r="A3" s="6">
        <v>3</v>
      </c>
      <c r="B3" s="6" t="s">
        <v>95</v>
      </c>
      <c r="C3" s="4">
        <f t="shared" si="0"/>
        <v>2</v>
      </c>
      <c r="D3" s="2" t="s">
        <v>191</v>
      </c>
      <c r="E3" s="2" t="s">
        <v>192</v>
      </c>
      <c r="F3" s="2" t="s">
        <v>130</v>
      </c>
      <c r="G3" s="2" t="s">
        <v>193</v>
      </c>
      <c r="I3" s="14"/>
    </row>
    <row r="4" spans="1:9" x14ac:dyDescent="0.5">
      <c r="A4" s="6">
        <v>2</v>
      </c>
      <c r="B4" s="6" t="s">
        <v>94</v>
      </c>
      <c r="C4" s="4">
        <f t="shared" si="0"/>
        <v>2</v>
      </c>
      <c r="D4" s="2" t="s">
        <v>191</v>
      </c>
      <c r="E4" s="2" t="s">
        <v>194</v>
      </c>
      <c r="F4" s="2" t="s">
        <v>131</v>
      </c>
      <c r="G4" s="2" t="s">
        <v>195</v>
      </c>
      <c r="I4" s="14"/>
    </row>
    <row r="5" spans="1:9" x14ac:dyDescent="0.5">
      <c r="A5" s="6">
        <v>4</v>
      </c>
      <c r="B5" s="6" t="s">
        <v>93</v>
      </c>
      <c r="C5" s="4">
        <f t="shared" si="0"/>
        <v>1</v>
      </c>
      <c r="D5" s="2"/>
      <c r="E5" s="2" t="s">
        <v>133</v>
      </c>
      <c r="F5" s="2" t="s">
        <v>132</v>
      </c>
      <c r="G5" s="2" t="s">
        <v>92</v>
      </c>
      <c r="I5" s="14"/>
    </row>
    <row r="6" spans="1:9" x14ac:dyDescent="0.5">
      <c r="A6" s="6">
        <v>5</v>
      </c>
      <c r="B6" s="6" t="s">
        <v>91</v>
      </c>
      <c r="C6" s="4">
        <f t="shared" si="0"/>
        <v>1</v>
      </c>
      <c r="D6" s="2" t="s">
        <v>36</v>
      </c>
      <c r="E6" s="2" t="s">
        <v>198</v>
      </c>
      <c r="F6" s="2" t="s">
        <v>134</v>
      </c>
      <c r="G6" s="2" t="s">
        <v>199</v>
      </c>
      <c r="I6" s="14"/>
    </row>
    <row r="7" spans="1:9" x14ac:dyDescent="0.5">
      <c r="A7" s="6">
        <v>6</v>
      </c>
      <c r="B7" s="6" t="s">
        <v>90</v>
      </c>
      <c r="C7" s="4">
        <f t="shared" si="0"/>
        <v>1</v>
      </c>
      <c r="D7" s="2" t="s">
        <v>40</v>
      </c>
      <c r="E7" s="2" t="s">
        <v>196</v>
      </c>
      <c r="F7" s="2" t="s">
        <v>135</v>
      </c>
      <c r="G7" s="2" t="s">
        <v>197</v>
      </c>
      <c r="I7" s="14"/>
    </row>
    <row r="8" spans="1:9" x14ac:dyDescent="0.5">
      <c r="A8" s="6">
        <v>7</v>
      </c>
      <c r="B8" s="6" t="s">
        <v>89</v>
      </c>
      <c r="C8" s="4">
        <f t="shared" si="0"/>
        <v>1</v>
      </c>
      <c r="D8" s="2" t="s">
        <v>5</v>
      </c>
      <c r="E8" s="2" t="s">
        <v>88</v>
      </c>
      <c r="F8" s="2"/>
      <c r="G8" s="2" t="s">
        <v>87</v>
      </c>
      <c r="I8" s="14"/>
    </row>
    <row r="9" spans="1:9" x14ac:dyDescent="0.5">
      <c r="A9" s="6">
        <v>8</v>
      </c>
      <c r="B9" s="6" t="s">
        <v>86</v>
      </c>
      <c r="C9" s="4">
        <f t="shared" si="0"/>
        <v>1</v>
      </c>
      <c r="D9" s="10" t="s">
        <v>54</v>
      </c>
      <c r="E9" s="10" t="s">
        <v>216</v>
      </c>
      <c r="F9" s="2"/>
      <c r="G9" s="10" t="s">
        <v>85</v>
      </c>
      <c r="I9" s="14"/>
    </row>
    <row r="10" spans="1:9" x14ac:dyDescent="0.5">
      <c r="A10" s="6">
        <v>9</v>
      </c>
      <c r="B10" s="6" t="s">
        <v>84</v>
      </c>
      <c r="C10" s="4">
        <f t="shared" si="0"/>
        <v>1</v>
      </c>
      <c r="D10" s="2" t="s">
        <v>9</v>
      </c>
      <c r="E10" s="2" t="s">
        <v>3</v>
      </c>
      <c r="F10" s="2"/>
      <c r="G10" s="2" t="s">
        <v>23</v>
      </c>
      <c r="I10" s="14"/>
    </row>
    <row r="11" spans="1:9" x14ac:dyDescent="0.5">
      <c r="A11" s="6">
        <v>10</v>
      </c>
      <c r="B11" s="6" t="s">
        <v>83</v>
      </c>
      <c r="C11" s="4">
        <f t="shared" si="0"/>
        <v>1</v>
      </c>
      <c r="D11" s="10" t="s">
        <v>188</v>
      </c>
      <c r="E11" s="10" t="s">
        <v>189</v>
      </c>
      <c r="F11" s="2"/>
      <c r="G11" s="2" t="s">
        <v>190</v>
      </c>
      <c r="I11" s="14"/>
    </row>
    <row r="12" spans="1:9" x14ac:dyDescent="0.5">
      <c r="A12" s="6">
        <v>11</v>
      </c>
      <c r="B12" s="6" t="s">
        <v>82</v>
      </c>
      <c r="C12" s="4">
        <f t="shared" si="0"/>
        <v>1</v>
      </c>
      <c r="D12" s="10"/>
      <c r="E12" s="10" t="s">
        <v>149</v>
      </c>
      <c r="F12" s="2" t="s">
        <v>136</v>
      </c>
      <c r="G12" s="2" t="s">
        <v>81</v>
      </c>
      <c r="I12" s="14"/>
    </row>
    <row r="13" spans="1:9" x14ac:dyDescent="0.5">
      <c r="A13" s="6">
        <v>12</v>
      </c>
      <c r="B13" s="6" t="s">
        <v>80</v>
      </c>
      <c r="C13" s="4">
        <f t="shared" si="0"/>
        <v>1</v>
      </c>
      <c r="D13" s="10" t="s">
        <v>53</v>
      </c>
      <c r="E13" s="10" t="s">
        <v>148</v>
      </c>
      <c r="F13" s="2" t="s">
        <v>137</v>
      </c>
      <c r="G13" s="2" t="s">
        <v>60</v>
      </c>
      <c r="I13" s="14"/>
    </row>
    <row r="14" spans="1:9" x14ac:dyDescent="0.5">
      <c r="A14" s="6">
        <v>13</v>
      </c>
      <c r="B14" s="6" t="s">
        <v>79</v>
      </c>
      <c r="C14" s="4">
        <f t="shared" si="0"/>
        <v>1</v>
      </c>
      <c r="D14" s="10" t="s">
        <v>53</v>
      </c>
      <c r="E14" s="10" t="s">
        <v>147</v>
      </c>
      <c r="F14" s="2" t="s">
        <v>138</v>
      </c>
      <c r="G14" s="2" t="s">
        <v>179</v>
      </c>
      <c r="I14" s="14"/>
    </row>
    <row r="15" spans="1:9" x14ac:dyDescent="0.5">
      <c r="A15" s="6">
        <v>14</v>
      </c>
      <c r="B15" s="6" t="s">
        <v>78</v>
      </c>
      <c r="C15" s="4">
        <f t="shared" si="0"/>
        <v>1</v>
      </c>
      <c r="D15" s="10" t="s">
        <v>53</v>
      </c>
      <c r="E15" s="10" t="s">
        <v>146</v>
      </c>
      <c r="F15" s="2" t="s">
        <v>139</v>
      </c>
      <c r="G15" s="2" t="s">
        <v>77</v>
      </c>
      <c r="I15" s="14"/>
    </row>
    <row r="16" spans="1:9" x14ac:dyDescent="0.5">
      <c r="A16" s="6">
        <v>15</v>
      </c>
      <c r="B16" s="6" t="s">
        <v>76</v>
      </c>
      <c r="C16" s="4">
        <f t="shared" si="0"/>
        <v>2</v>
      </c>
      <c r="D16" s="10" t="s">
        <v>53</v>
      </c>
      <c r="E16" s="10" t="s">
        <v>145</v>
      </c>
      <c r="F16" s="2" t="s">
        <v>140</v>
      </c>
      <c r="G16" s="2" t="s">
        <v>75</v>
      </c>
      <c r="I16" s="14"/>
    </row>
    <row r="17" spans="1:9" x14ac:dyDescent="0.5">
      <c r="A17" s="6">
        <v>16</v>
      </c>
      <c r="B17" s="6" t="s">
        <v>74</v>
      </c>
      <c r="C17" s="4">
        <f t="shared" si="0"/>
        <v>2</v>
      </c>
      <c r="D17" s="10" t="s">
        <v>53</v>
      </c>
      <c r="E17" s="10" t="s">
        <v>144</v>
      </c>
      <c r="F17" s="2" t="s">
        <v>141</v>
      </c>
      <c r="G17" s="2" t="s">
        <v>73</v>
      </c>
      <c r="I17" s="14"/>
    </row>
    <row r="18" spans="1:9" x14ac:dyDescent="0.5">
      <c r="A18" s="6">
        <v>17</v>
      </c>
      <c r="B18" s="6" t="s">
        <v>72</v>
      </c>
      <c r="C18" s="4">
        <f t="shared" si="0"/>
        <v>1</v>
      </c>
      <c r="D18" s="10" t="s">
        <v>205</v>
      </c>
      <c r="E18" s="10" t="s">
        <v>143</v>
      </c>
      <c r="F18" s="5" t="s">
        <v>142</v>
      </c>
      <c r="G18" s="2" t="s">
        <v>206</v>
      </c>
      <c r="I18" s="14"/>
    </row>
    <row r="19" spans="1:9" x14ac:dyDescent="0.5">
      <c r="A19" s="6">
        <v>18</v>
      </c>
      <c r="B19" s="6" t="s">
        <v>217</v>
      </c>
      <c r="C19" s="4">
        <f t="shared" si="0"/>
        <v>1</v>
      </c>
      <c r="D19" s="2" t="s">
        <v>201</v>
      </c>
      <c r="E19" s="2" t="s">
        <v>202</v>
      </c>
      <c r="F19" s="2" t="s">
        <v>129</v>
      </c>
      <c r="G19" s="7" t="s">
        <v>204</v>
      </c>
      <c r="I19" s="14"/>
    </row>
    <row r="20" spans="1:9" x14ac:dyDescent="0.5">
      <c r="A20" s="6">
        <v>19</v>
      </c>
      <c r="B20" s="6" t="s">
        <v>71</v>
      </c>
      <c r="C20" s="4">
        <f t="shared" si="0"/>
        <v>1</v>
      </c>
      <c r="D20" s="2" t="s">
        <v>61</v>
      </c>
      <c r="E20" s="2">
        <v>32208551</v>
      </c>
      <c r="F20" s="5"/>
      <c r="G20" s="2" t="s">
        <v>62</v>
      </c>
      <c r="I20" s="14"/>
    </row>
    <row r="22" spans="1:9" x14ac:dyDescent="0.5">
      <c r="F22" s="8"/>
      <c r="G22" s="13"/>
    </row>
    <row r="23" spans="1:9" x14ac:dyDescent="0.5">
      <c r="F23" s="8"/>
    </row>
    <row r="24" spans="1:9" x14ac:dyDescent="0.5">
      <c r="F24" s="8"/>
    </row>
    <row r="25" spans="1:9" x14ac:dyDescent="0.5">
      <c r="F25" s="8"/>
    </row>
    <row r="26" spans="1:9" x14ac:dyDescent="0.5">
      <c r="F26" s="8"/>
    </row>
    <row r="27" spans="1:9" x14ac:dyDescent="0.5">
      <c r="F27" s="8"/>
    </row>
    <row r="28" spans="1:9" x14ac:dyDescent="0.5">
      <c r="F28" s="8"/>
    </row>
    <row r="29" spans="1:9" x14ac:dyDescent="0.5">
      <c r="F29" s="8"/>
    </row>
  </sheetData>
  <phoneticPr fontId="19"/>
  <pageMargins left="0.70866141732283472" right="0.70866141732283472" top="0.74803149606299213" bottom="0.74803149606299213" header="0.31496062992125984" footer="0.31496062992125984"/>
  <pageSetup paperSize="9" scale="6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B476-5E39-423C-AF88-04DFCBED1BF1}">
  <dimension ref="A1:G39"/>
  <sheetViews>
    <sheetView view="pageBreakPreview" zoomScale="70" zoomScaleNormal="80" zoomScaleSheetLayoutView="7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ColWidth="11" defaultRowHeight="15" x14ac:dyDescent="0.5"/>
  <cols>
    <col min="1" max="1" width="3.7265625" style="7" bestFit="1" customWidth="1"/>
    <col min="2" max="2" width="35.54296875" style="8" bestFit="1" customWidth="1"/>
    <col min="3" max="3" width="4.26953125" style="8" customWidth="1"/>
    <col min="4" max="5" width="38.26953125" style="9" customWidth="1"/>
    <col min="6" max="6" width="14.86328125" style="9" customWidth="1"/>
    <col min="7" max="16384" width="11" style="7"/>
  </cols>
  <sheetData>
    <row r="1" spans="1:7" ht="21" customHeight="1" x14ac:dyDescent="0.5">
      <c r="A1" s="18" t="s">
        <v>29</v>
      </c>
      <c r="B1" s="12" t="s">
        <v>0</v>
      </c>
      <c r="C1" s="12" t="s">
        <v>1</v>
      </c>
      <c r="D1" s="12" t="s">
        <v>13</v>
      </c>
      <c r="E1" s="12" t="s">
        <v>4</v>
      </c>
      <c r="F1" s="12" t="s">
        <v>100</v>
      </c>
    </row>
    <row r="2" spans="1:7" x14ac:dyDescent="0.5">
      <c r="A2" s="6">
        <v>1</v>
      </c>
      <c r="B2" s="3" t="s">
        <v>215</v>
      </c>
      <c r="C2" s="4">
        <f t="shared" ref="C2:C7" si="0">LEN(B2) - LEN(SUBSTITUTE(B2,",",""))+1</f>
        <v>3</v>
      </c>
      <c r="D2" s="2" t="s">
        <v>6</v>
      </c>
      <c r="E2" s="2" t="s">
        <v>186</v>
      </c>
      <c r="F2" s="2" t="s">
        <v>127</v>
      </c>
      <c r="G2" s="2" t="s">
        <v>187</v>
      </c>
    </row>
    <row r="3" spans="1:7" x14ac:dyDescent="0.5">
      <c r="A3" s="6">
        <v>2</v>
      </c>
      <c r="B3" s="1" t="s">
        <v>214</v>
      </c>
      <c r="C3" s="4">
        <f t="shared" si="0"/>
        <v>1</v>
      </c>
      <c r="D3" s="2" t="s">
        <v>5</v>
      </c>
      <c r="E3" s="2" t="s">
        <v>209</v>
      </c>
      <c r="F3" s="2"/>
      <c r="G3" s="2" t="s">
        <v>210</v>
      </c>
    </row>
    <row r="4" spans="1:7" x14ac:dyDescent="0.5">
      <c r="A4" s="6">
        <v>3</v>
      </c>
      <c r="B4" s="1" t="s">
        <v>212</v>
      </c>
      <c r="C4" s="4">
        <f t="shared" si="0"/>
        <v>2</v>
      </c>
      <c r="D4" s="2" t="s">
        <v>42</v>
      </c>
      <c r="E4" s="2" t="s">
        <v>150</v>
      </c>
      <c r="F4" s="2"/>
      <c r="G4" s="7" t="s">
        <v>184</v>
      </c>
    </row>
    <row r="5" spans="1:7" x14ac:dyDescent="0.5">
      <c r="A5" s="6">
        <v>4</v>
      </c>
      <c r="B5" s="1" t="s">
        <v>97</v>
      </c>
      <c r="C5" s="4">
        <f t="shared" si="0"/>
        <v>1</v>
      </c>
      <c r="D5" s="2" t="s">
        <v>42</v>
      </c>
      <c r="E5" s="2" t="s">
        <v>98</v>
      </c>
      <c r="F5" s="2" t="s">
        <v>128</v>
      </c>
      <c r="G5" s="7" t="s">
        <v>185</v>
      </c>
    </row>
    <row r="6" spans="1:7" x14ac:dyDescent="0.5">
      <c r="A6" s="6">
        <v>5</v>
      </c>
      <c r="B6" s="1" t="s">
        <v>213</v>
      </c>
      <c r="C6" s="4">
        <f>LEN(B6) - LEN(SUBSTITUTE(B6,",",""))+1</f>
        <v>1</v>
      </c>
      <c r="D6" s="2" t="s">
        <v>12</v>
      </c>
      <c r="E6" s="2" t="s">
        <v>123</v>
      </c>
      <c r="F6" s="2" t="s">
        <v>162</v>
      </c>
      <c r="G6" s="2" t="s">
        <v>157</v>
      </c>
    </row>
    <row r="7" spans="1:7" x14ac:dyDescent="0.5">
      <c r="A7" s="6">
        <v>6</v>
      </c>
      <c r="B7" s="1" t="s">
        <v>211</v>
      </c>
      <c r="C7" s="4">
        <f t="shared" si="0"/>
        <v>1</v>
      </c>
      <c r="D7" s="2" t="s">
        <v>200</v>
      </c>
      <c r="E7" s="2" t="s">
        <v>203</v>
      </c>
      <c r="F7" s="2" t="s">
        <v>173</v>
      </c>
      <c r="G7" s="7" t="s">
        <v>204</v>
      </c>
    </row>
    <row r="8" spans="1:7" x14ac:dyDescent="0.5">
      <c r="F8" s="8"/>
    </row>
    <row r="9" spans="1:7" x14ac:dyDescent="0.5">
      <c r="D9" s="17"/>
      <c r="F9" s="8"/>
    </row>
    <row r="10" spans="1:7" x14ac:dyDescent="0.5">
      <c r="F10" s="8"/>
    </row>
    <row r="11" spans="1:7" x14ac:dyDescent="0.5">
      <c r="F11" s="8"/>
    </row>
    <row r="12" spans="1:7" x14ac:dyDescent="0.5">
      <c r="F12" s="8"/>
    </row>
    <row r="13" spans="1:7" x14ac:dyDescent="0.5">
      <c r="F13" s="8"/>
    </row>
    <row r="14" spans="1:7" x14ac:dyDescent="0.5">
      <c r="F14" s="8"/>
    </row>
    <row r="15" spans="1:7" x14ac:dyDescent="0.5">
      <c r="F15" s="8"/>
    </row>
    <row r="16" spans="1:7" x14ac:dyDescent="0.5">
      <c r="F16" s="8"/>
    </row>
    <row r="17" spans="6:6" x14ac:dyDescent="0.5">
      <c r="F17" s="8"/>
    </row>
    <row r="18" spans="6:6" x14ac:dyDescent="0.5">
      <c r="F18" s="8"/>
    </row>
    <row r="19" spans="6:6" x14ac:dyDescent="0.5">
      <c r="F19" s="8"/>
    </row>
    <row r="20" spans="6:6" x14ac:dyDescent="0.5">
      <c r="F20" s="8"/>
    </row>
    <row r="21" spans="6:6" x14ac:dyDescent="0.5">
      <c r="F21" s="8"/>
    </row>
    <row r="22" spans="6:6" x14ac:dyDescent="0.5">
      <c r="F22" s="8"/>
    </row>
    <row r="23" spans="6:6" x14ac:dyDescent="0.5">
      <c r="F23" s="8"/>
    </row>
    <row r="24" spans="6:6" x14ac:dyDescent="0.5">
      <c r="F24" s="8"/>
    </row>
    <row r="25" spans="6:6" x14ac:dyDescent="0.5">
      <c r="F25" s="8"/>
    </row>
    <row r="26" spans="6:6" x14ac:dyDescent="0.5">
      <c r="F26" s="8"/>
    </row>
    <row r="27" spans="6:6" x14ac:dyDescent="0.5">
      <c r="F27" s="8"/>
    </row>
    <row r="28" spans="6:6" x14ac:dyDescent="0.5">
      <c r="F28" s="8"/>
    </row>
    <row r="29" spans="6:6" x14ac:dyDescent="0.5">
      <c r="F29" s="8"/>
    </row>
    <row r="30" spans="6:6" x14ac:dyDescent="0.5">
      <c r="F30" s="8"/>
    </row>
    <row r="31" spans="6:6" x14ac:dyDescent="0.5">
      <c r="F31" s="8"/>
    </row>
    <row r="32" spans="6:6" x14ac:dyDescent="0.5">
      <c r="F32" s="8"/>
    </row>
    <row r="33" spans="6:6" x14ac:dyDescent="0.5">
      <c r="F33" s="8"/>
    </row>
    <row r="34" spans="6:6" x14ac:dyDescent="0.5">
      <c r="F34" s="8"/>
    </row>
    <row r="35" spans="6:6" x14ac:dyDescent="0.5">
      <c r="F35" s="8"/>
    </row>
    <row r="36" spans="6:6" x14ac:dyDescent="0.5">
      <c r="F36" s="8"/>
    </row>
    <row r="37" spans="6:6" x14ac:dyDescent="0.5">
      <c r="F37" s="8"/>
    </row>
    <row r="38" spans="6:6" x14ac:dyDescent="0.5">
      <c r="F38" s="8"/>
    </row>
    <row r="39" spans="6:6" x14ac:dyDescent="0.5">
      <c r="F39" s="8"/>
    </row>
  </sheetData>
  <phoneticPr fontId="19"/>
  <pageMargins left="0.70866141732283472" right="0.70866141732283472" top="0.74803149606299213" bottom="0.74803149606299213" header="0.31496062992125984" footer="0.31496062992125984"/>
  <pageSetup paperSize="9" scale="6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main</vt:lpstr>
      <vt:lpstr>vel_plobe</vt:lpstr>
      <vt:lpstr>th_plobe</vt:lpstr>
      <vt:lpstr>main!Print_Area</vt:lpstr>
      <vt:lpstr>th_plobe!Print_Area</vt:lpstr>
      <vt:lpstr>vel_plobe!Print_Area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富樫英介</dc:creator>
  <cp:lastModifiedBy>富樫 英介</cp:lastModifiedBy>
  <cp:lastPrinted>2026-07-24T00:50:17Z</cp:lastPrinted>
  <dcterms:created xsi:type="dcterms:W3CDTF">2018-08-06T08:24:34Z</dcterms:created>
  <dcterms:modified xsi:type="dcterms:W3CDTF">2026-08-15T04:14:37Z</dcterms:modified>
</cp:coreProperties>
</file>