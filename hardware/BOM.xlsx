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9EA2892C-B226-4972-9252-703767AC3923}" xr6:coauthVersionLast="47" xr6:coauthVersionMax="47" xr10:uidLastSave="{00000000-0000-0000-0000-000000000000}"/>
  <bookViews>
    <workbookView xWindow="38730" yWindow="5510" windowWidth="28800" windowHeight="15200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main!$A$1:$F$28</definedName>
    <definedName name="_xlnm.Print_Area" localSheetId="2">th_plobe!$A$1:$F$7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3" i="6"/>
  <c r="C9" i="4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8" i="4"/>
  <c r="C7" i="4"/>
  <c r="C5" i="4"/>
  <c r="C4" i="4"/>
  <c r="C3" i="4"/>
  <c r="C7" i="6"/>
  <c r="C5" i="6"/>
  <c r="C4" i="6"/>
  <c r="C2" i="6"/>
  <c r="C6" i="4"/>
</calcChain>
</file>

<file path=xl/sharedStrings.xml><?xml version="1.0" encoding="utf-8"?>
<sst xmlns="http://schemas.openxmlformats.org/spreadsheetml/2006/main" count="259" uniqueCount="220">
  <si>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</si>
  <si>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</si>
  <si>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</si>
  <si>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</si>
  <si>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</si>
  <si>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</si>
  <si>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</si>
  <si>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</si>
  <si>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</si>
  <si>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</si>
  <si>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</si>
  <si>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</si>
  <si>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</si>
  <si>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</si>
  <si>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</si>
  <si>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</si>
  <si>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</si>
  <si>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</si>
  <si>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</si>
  <si>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</si>
  <si>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</si>
  <si>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</si>
  <si>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</si>
  <si>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</si>
  <si>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</si>
  <si>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</si>
  <si>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</si>
  <si>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</si>
  <si>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</si>
  <si>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</si>
  <si>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</si>
  <si>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</si>
  <si>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</si>
  <si>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</si>
  <si>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</si>
  <si>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</si>
  <si>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</si>
  <si>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</si>
  <si>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</si>
  <si>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</si>
  <si>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</si>
  <si>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</si>
  <si>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</si>
  <si>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TCR2EF30,LM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</si>
  <si>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</si>
  <si>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</si>
  <si>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</si>
  <si>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</si>
  <si>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</si>
  <si>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</si>
  <si>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</si>
  <si>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</si>
  <si>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</si>
  <si>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</si>
  <si>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Microchip Technology</t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</si>
  <si>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</si>
  <si>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</si>
  <si>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</si>
  <si>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</si>
  <si>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</si>
  <si>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</si>
  <si>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</si>
  <si>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</si>
  <si>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</si>
  <si>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</si>
  <si>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</si>
  <si>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</si>
  <si>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</si>
  <si>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</si>
  <si>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</si>
  <si>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</si>
  <si>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</si>
  <si>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</si>
  <si>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</si>
  <si>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</si>
  <si>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</si>
  <si>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</si>
  <si>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</si>
  <si>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</si>
  <si>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</si>
  <si>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</si>
  <si>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</si>
  <si>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</si>
  <si>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</si>
  <si>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</si>
  <si>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</si>
  <si>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</si>
  <si>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</si>
  <si>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</si>
  <si>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</si>
  <si>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</si>
  <si>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</si>
  <si>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</si>
  <si>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</si>
  <si>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</si>
  <si>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</si>
  <si>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</si>
  <si>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</si>
  <si>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</si>
  <si>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</si>
  <si>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</si>
  <si>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</si>
  <si>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</si>
  <si>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</si>
  <si>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</si>
  <si>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</si>
  <si>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</si>
  <si>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</si>
  <si>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</si>
  <si>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</si>
  <si>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</si>
  <si>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</si>
  <si>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</si>
  <si>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</si>
  <si>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</si>
  <si>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</si>
  <si>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</si>
  <si>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</si>
  <si>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</si>
  <si>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</si>
  <si>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</si>
  <si>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</si>
  <si>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</si>
  <si>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</si>
  <si>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</si>
  <si>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</si>
  <si>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</si>
  <si>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</si>
  <si>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</si>
  <si>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</si>
  <si>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</si>
  <si>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</si>
  <si>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</si>
  <si>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</si>
  <si>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</si>
  <si>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</si>
  <si>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</si>
  <si>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</si>
  <si>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</si>
  <si>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</si>
  <si>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</si>
  <si>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</si>
  <si>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</si>
  <si>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</si>
  <si>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</si>
  <si>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</si>
  <si>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</si>
  <si>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</si>
  <si>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</si>
  <si>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</si>
  <si>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</si>
  <si>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</si>
  <si>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</si>
  <si>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</si>
  <si>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</si>
  <si>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</si>
  <si>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</si>
  <si>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</si>
  <si>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</si>
  <si>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</si>
  <si>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</si>
  <si>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</si>
  <si>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</si>
  <si>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</si>
  <si>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</si>
  <si>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</si>
  <si>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</si>
  <si>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</si>
  <si>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MYOUNG</t>
    <phoneticPr fontId="18" type="noConversion"/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</si>
  <si>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</si>
  <si>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</si>
  <si>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</si>
  <si>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</si>
  <si>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</si>
  <si>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</si>
  <si>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</si>
  <si>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</si>
  <si>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C804, C805</t>
    <phoneticPr fontId="18" type="noConversion"/>
  </si>
  <si>
    <t>IC201</t>
    <phoneticPr fontId="18" type="noConversion"/>
  </si>
  <si>
    <t>https://www.digikey.jp/ja/products/detail/te-connectivity-passive-product/RQ73C1J232RBTD/9480531</t>
    <phoneticPr fontId="19"/>
  </si>
  <si>
    <t>D1</t>
    <phoneticPr fontId="19"/>
  </si>
  <si>
    <t>https://www.lcsc.com/product-detail/C393373.html</t>
    <phoneticPr fontId="18" type="noConversion"/>
  </si>
  <si>
    <t>onsemi</t>
    <phoneticPr fontId="18" type="noConversion"/>
  </si>
  <si>
    <t>NUP2114UCMR6T1G</t>
    <phoneticPr fontId="18" type="noConversion"/>
  </si>
  <si>
    <t>https://www.digikey.jp/ja/products/detail/sensirion-ag/SHT40-AD1B-R3/14322709</t>
    <phoneticPr fontId="19"/>
  </si>
  <si>
    <t>https://www.digikey.jp/ja/products/detail/sensirion-ag/STCC4-D-R3/26769073</t>
    <phoneticPr fontId="19"/>
  </si>
  <si>
    <t>GCM188R71H104KA57D</t>
    <phoneticPr fontId="18" type="noConversion"/>
  </si>
  <si>
    <t>https://www.lcsc.com/product-detail/C85864.html</t>
    <phoneticPr fontId="18" type="noConversion"/>
  </si>
  <si>
    <t>JSCJ</t>
    <phoneticPr fontId="19"/>
  </si>
  <si>
    <t>JSCJ MMBT3904(RANGE:100-300)</t>
    <phoneticPr fontId="19"/>
  </si>
  <si>
    <t>https://www.lcsc.com/product-detail/C20526.html</t>
    <phoneticPr fontId="18" type="noConversion"/>
  </si>
  <si>
    <t>Samsung Electro-Mechanics</t>
    <phoneticPr fontId="18" type="noConversion"/>
  </si>
  <si>
    <t>CL21A106KAYNNNE</t>
    <phoneticPr fontId="18" type="noConversion"/>
  </si>
  <si>
    <t>https://www.lcsc.com/product-detail/C15850.html</t>
    <phoneticPr fontId="18" type="noConversion"/>
  </si>
  <si>
    <t>CL10A105KB8NNNC</t>
    <phoneticPr fontId="18" type="noConversion"/>
  </si>
  <si>
    <t>https://www.lcsc.com/product-detail/C15849.html</t>
    <phoneticPr fontId="18" type="noConversion"/>
  </si>
  <si>
    <t>TCR3UF20A,LM(CT</t>
    <phoneticPr fontId="18" type="noConversion"/>
  </si>
  <si>
    <t>https://www.lcsc.com/product-detail/C7067134.html</t>
    <phoneticPr fontId="19"/>
  </si>
  <si>
    <t>XCL103D503CR-G</t>
    <phoneticPr fontId="18" type="noConversion"/>
  </si>
  <si>
    <t>https://www.lcsc.com/product-detail/C5439677.html</t>
    <phoneticPr fontId="18" type="noConversion"/>
  </si>
  <si>
    <t>XKB Connection</t>
    <phoneticPr fontId="19"/>
  </si>
  <si>
    <t>XKB Connection</t>
    <phoneticPr fontId="18" type="noConversion"/>
  </si>
  <si>
    <t>X4611WRS-04I-C40D28</t>
    <phoneticPr fontId="18" type="noConversion"/>
  </si>
  <si>
    <t>X4611WRS-04I-C40D28</t>
    <phoneticPr fontId="19"/>
  </si>
  <si>
    <t>https://www.lcsc.com/product-detail/C917591.html</t>
    <phoneticPr fontId="19"/>
  </si>
  <si>
    <t>YAGEO</t>
    <phoneticPr fontId="19"/>
  </si>
  <si>
    <t>https://www.lcsc.com/product-detail/C99782.html</t>
    <phoneticPr fontId="18" type="noConversion"/>
  </si>
  <si>
    <t>https://www.lcsc.com/product-detail/C5290182.html</t>
    <phoneticPr fontId="18" type="noConversion"/>
  </si>
  <si>
    <t>BH-AA-B5BA015</t>
    <phoneticPr fontId="18" type="noConversion"/>
  </si>
  <si>
    <t>AVR128DB32-I/RXB</t>
    <phoneticPr fontId="19"/>
  </si>
  <si>
    <t>https://www.lcsc.com/product-detail/C3225665.html</t>
    <phoneticPr fontId="18" type="noConversion"/>
  </si>
  <si>
    <t>SV2</t>
    <phoneticPr fontId="18" type="noConversion"/>
  </si>
  <si>
    <t>IC901, ICB01</t>
    <phoneticPr fontId="18" type="noConversion"/>
  </si>
  <si>
    <t>RN1</t>
    <phoneticPr fontId="18" type="noConversion"/>
  </si>
  <si>
    <t>IC801</t>
    <phoneticPr fontId="18" type="noConversion"/>
  </si>
  <si>
    <t>C901B, CB01, CB02</t>
    <phoneticPr fontId="18" type="noConversion"/>
  </si>
  <si>
    <t>MCP6V02-E/MD</t>
    <phoneticPr fontId="19"/>
  </si>
  <si>
    <t>SV1</t>
    <phoneticPr fontId="18" type="noConversion"/>
  </si>
  <si>
    <t>BT1</t>
    <phoneticPr fontId="18" type="noConversion"/>
  </si>
  <si>
    <t>D803, D804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</si>
</sst>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5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4" fillId="0" borderId="10" xfId="43" applyFont="1" applyBorder="1" applyAlignment="1">
      <alignment horizontal="left" vertical="top"/>
    </xf>
    <xf numFmtId="0" fontId="23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0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D10" sqref="D10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ht="21" customHeight="1" x14ac:dyDescent="0.5">
      <c r="A1" s="11" t="s">
        <v>29</v>
      </c>
      <c r="B1" s="16" t="s">
        <v>0</v>
      </c>
      <c r="C1" s="16" t="s">
        <v>1</v>
      </c>
      <c r="D1" s="16" t="s">
        <v>13</v>
      </c>
      <c r="E1" s="16" t="s">
        <v>4</v>
      </c>
      <c r="F1" s="16" t="s">
        <v>100</v>
      </c>
      <c r="G1" s="16" t="s">
        <v>2</v>
      </c>
    </row>
    <row r="2" spans="1:7" x14ac:dyDescent="0.5">
      <c r="A2" s="6">
        <v>1</v>
      </c>
      <c r="B2" s="1" t="s">
        <v>218</v>
      </c>
      <c r="C2" s="4">
        <v>1</v>
      </c>
      <c r="D2" s="2" t="s">
        <v>168</v>
      </c>
      <c r="E2" s="2" t="s">
        <v>208</v>
      </c>
      <c r="F2" s="2"/>
      <c r="G2" s="2" t="s">
        <v>207</v>
      </c>
    </row>
    <row r="3" spans="1:7" x14ac:dyDescent="0.5">
      <c r="A3" s="6">
        <v>2</v>
      </c>
      <c r="B3" s="3" t="s">
        <v>67</v>
      </c>
      <c r="C3" s="4">
        <f t="shared" ref="C3:C28" si="0">LEN(B3) - LEN(SUBSTITUTE(B3,",",""))+1</f>
        <v>6</v>
      </c>
      <c r="D3" s="2" t="s">
        <v>6</v>
      </c>
      <c r="E3" s="2" t="s">
        <v>101</v>
      </c>
      <c r="F3" s="2" t="s">
        <v>102</v>
      </c>
      <c r="G3" s="2" t="s">
        <v>14</v>
      </c>
    </row>
    <row r="4" spans="1:7" x14ac:dyDescent="0.5">
      <c r="A4" s="6">
        <v>3</v>
      </c>
      <c r="B4" s="1" t="s">
        <v>69</v>
      </c>
      <c r="C4" s="4">
        <f t="shared" si="0"/>
        <v>1</v>
      </c>
      <c r="D4" s="2" t="s">
        <v>6</v>
      </c>
      <c r="E4" s="2" t="s">
        <v>103</v>
      </c>
      <c r="F4" s="2" t="s">
        <v>104</v>
      </c>
      <c r="G4" s="2" t="s">
        <v>17</v>
      </c>
    </row>
    <row r="5" spans="1:7" x14ac:dyDescent="0.5">
      <c r="A5" s="6">
        <v>4</v>
      </c>
      <c r="B5" s="1" t="s">
        <v>70</v>
      </c>
      <c r="C5" s="4">
        <f t="shared" si="0"/>
        <v>2</v>
      </c>
      <c r="D5" s="2" t="s">
        <v>33</v>
      </c>
      <c r="E5" s="2" t="s">
        <v>105</v>
      </c>
      <c r="F5" s="2" t="s">
        <v>106</v>
      </c>
      <c r="G5" s="2" t="s">
        <v>38</v>
      </c>
    </row>
    <row r="6" spans="1:7" x14ac:dyDescent="0.5">
      <c r="A6" s="6">
        <v>5</v>
      </c>
      <c r="B6" s="1" t="s">
        <v>177</v>
      </c>
      <c r="C6" s="4">
        <f t="shared" si="0"/>
        <v>2</v>
      </c>
      <c r="D6" s="2" t="s">
        <v>6</v>
      </c>
      <c r="E6" s="2" t="s">
        <v>107</v>
      </c>
      <c r="F6" s="2" t="s">
        <v>108</v>
      </c>
      <c r="G6" s="2" t="s">
        <v>156</v>
      </c>
    </row>
    <row r="7" spans="1:7" x14ac:dyDescent="0.5">
      <c r="A7" s="6">
        <v>6</v>
      </c>
      <c r="B7" s="1" t="s">
        <v>64</v>
      </c>
      <c r="C7" s="4">
        <f t="shared" si="0"/>
        <v>3</v>
      </c>
      <c r="D7" s="2" t="s">
        <v>6</v>
      </c>
      <c r="E7" s="2" t="s">
        <v>109</v>
      </c>
      <c r="F7" s="2" t="s">
        <v>110</v>
      </c>
      <c r="G7" s="2" t="s">
        <v>65</v>
      </c>
    </row>
    <row r="8" spans="1:7" x14ac:dyDescent="0.5">
      <c r="A8" s="6">
        <v>7</v>
      </c>
      <c r="B8" s="1" t="s">
        <v>20</v>
      </c>
      <c r="C8" s="4">
        <f t="shared" si="0"/>
        <v>1</v>
      </c>
      <c r="D8" s="2" t="s">
        <v>9</v>
      </c>
      <c r="E8" s="2" t="s">
        <v>28</v>
      </c>
      <c r="F8" s="2"/>
      <c r="G8" s="2" t="s">
        <v>153</v>
      </c>
    </row>
    <row r="9" spans="1:7" x14ac:dyDescent="0.5">
      <c r="A9" s="6">
        <v>8</v>
      </c>
      <c r="B9" s="1" t="s">
        <v>180</v>
      </c>
      <c r="C9" s="4">
        <f t="shared" si="0"/>
        <v>1</v>
      </c>
      <c r="D9" s="2" t="s">
        <v>182</v>
      </c>
      <c r="E9" s="2" t="s">
        <v>183</v>
      </c>
      <c r="F9" s="2"/>
      <c r="G9" s="2" t="s">
        <v>181</v>
      </c>
    </row>
    <row r="10" spans="1:7" x14ac:dyDescent="0.5">
      <c r="A10" s="6">
        <v>9</v>
      </c>
      <c r="B10" s="1" t="s">
        <v>44</v>
      </c>
      <c r="C10" s="4">
        <f t="shared" si="0"/>
        <v>1</v>
      </c>
      <c r="D10" s="2" t="s">
        <v>15</v>
      </c>
      <c r="E10" s="2" t="s">
        <v>111</v>
      </c>
      <c r="F10" s="2" t="s">
        <v>112</v>
      </c>
      <c r="G10" s="2" t="s">
        <v>46</v>
      </c>
    </row>
    <row r="11" spans="1:7" x14ac:dyDescent="0.5">
      <c r="A11" s="6">
        <v>10</v>
      </c>
      <c r="B11" s="1" t="s">
        <v>34</v>
      </c>
      <c r="C11" s="4">
        <f t="shared" si="0"/>
        <v>1</v>
      </c>
      <c r="D11" s="2" t="s">
        <v>15</v>
      </c>
      <c r="E11" s="2" t="s">
        <v>114</v>
      </c>
      <c r="F11" s="2" t="s">
        <v>113</v>
      </c>
      <c r="G11" s="2" t="s">
        <v>16</v>
      </c>
    </row>
    <row r="12" spans="1:7" x14ac:dyDescent="0.5">
      <c r="A12" s="6">
        <v>11</v>
      </c>
      <c r="B12" s="1" t="s">
        <v>219</v>
      </c>
      <c r="C12" s="4">
        <f t="shared" si="0"/>
        <v>2</v>
      </c>
      <c r="D12" s="2" t="s">
        <v>99</v>
      </c>
      <c r="E12" s="2" t="s">
        <v>55</v>
      </c>
      <c r="F12" s="2"/>
      <c r="G12" s="2" t="s">
        <v>59</v>
      </c>
    </row>
    <row r="13" spans="1:7" x14ac:dyDescent="0.5">
      <c r="A13" s="6">
        <v>12</v>
      </c>
      <c r="B13" s="1" t="s">
        <v>35</v>
      </c>
      <c r="C13" s="4">
        <f t="shared" si="0"/>
        <v>1</v>
      </c>
      <c r="D13" s="2" t="s">
        <v>15</v>
      </c>
      <c r="E13" s="2" t="s">
        <v>116</v>
      </c>
      <c r="F13" s="2" t="s">
        <v>115</v>
      </c>
      <c r="G13" s="2" t="s">
        <v>47</v>
      </c>
    </row>
    <row r="14" spans="1:7" x14ac:dyDescent="0.5">
      <c r="A14" s="6">
        <v>13</v>
      </c>
      <c r="B14" s="1" t="s">
        <v>21</v>
      </c>
      <c r="C14" s="4">
        <f t="shared" si="0"/>
        <v>1</v>
      </c>
      <c r="D14" s="2" t="s">
        <v>19</v>
      </c>
      <c r="E14" s="2" t="s">
        <v>18</v>
      </c>
      <c r="F14" s="2"/>
      <c r="G14" s="2" t="s">
        <v>22</v>
      </c>
    </row>
    <row r="15" spans="1:7" x14ac:dyDescent="0.5">
      <c r="A15" s="6">
        <v>14</v>
      </c>
      <c r="B15" s="1" t="s">
        <v>39</v>
      </c>
      <c r="C15" s="4">
        <f t="shared" si="0"/>
        <v>1</v>
      </c>
      <c r="D15" s="2" t="s">
        <v>40</v>
      </c>
      <c r="E15" s="2" t="s">
        <v>43</v>
      </c>
      <c r="F15" s="2" t="s">
        <v>118</v>
      </c>
      <c r="G15" s="2" t="s">
        <v>154</v>
      </c>
    </row>
    <row r="16" spans="1:7" x14ac:dyDescent="0.5">
      <c r="A16" s="6">
        <v>15</v>
      </c>
      <c r="B16" s="1" t="s">
        <v>178</v>
      </c>
      <c r="C16" s="4">
        <f t="shared" si="0"/>
        <v>1</v>
      </c>
      <c r="D16" s="2" t="s">
        <v>36</v>
      </c>
      <c r="E16" s="2" t="s">
        <v>41</v>
      </c>
      <c r="F16" s="2" t="s">
        <v>117</v>
      </c>
      <c r="G16" s="2" t="s">
        <v>155</v>
      </c>
    </row>
    <row r="17" spans="1:7" x14ac:dyDescent="0.5">
      <c r="A17" s="6">
        <v>16</v>
      </c>
      <c r="B17" s="1" t="s">
        <v>48</v>
      </c>
      <c r="C17" s="4">
        <f t="shared" si="0"/>
        <v>1</v>
      </c>
      <c r="D17" s="2" t="s">
        <v>5</v>
      </c>
      <c r="E17" s="2" t="s">
        <v>52</v>
      </c>
      <c r="F17" s="2"/>
      <c r="G17" s="2" t="s">
        <v>151</v>
      </c>
    </row>
    <row r="18" spans="1:7" x14ac:dyDescent="0.5">
      <c r="A18" s="6">
        <v>17</v>
      </c>
      <c r="B18" s="1" t="s">
        <v>30</v>
      </c>
      <c r="C18" s="4">
        <f t="shared" si="0"/>
        <v>1</v>
      </c>
      <c r="D18" s="2" t="s">
        <v>120</v>
      </c>
      <c r="E18" s="2" t="s">
        <v>121</v>
      </c>
      <c r="F18" s="2"/>
      <c r="G18" s="2" t="s">
        <v>119</v>
      </c>
    </row>
    <row r="19" spans="1:7" x14ac:dyDescent="0.5">
      <c r="A19" s="6">
        <v>18</v>
      </c>
      <c r="B19" s="1" t="s">
        <v>32</v>
      </c>
      <c r="C19" s="4">
        <f t="shared" si="0"/>
        <v>1</v>
      </c>
      <c r="D19" s="5" t="s">
        <v>27</v>
      </c>
      <c r="E19" s="5" t="s">
        <v>26</v>
      </c>
      <c r="F19" s="5"/>
      <c r="G19" s="2" t="s">
        <v>152</v>
      </c>
    </row>
    <row r="20" spans="1:7" x14ac:dyDescent="0.5">
      <c r="A20" s="6">
        <v>19</v>
      </c>
      <c r="B20" s="1" t="s">
        <v>51</v>
      </c>
      <c r="C20" s="4">
        <f t="shared" si="0"/>
        <v>1</v>
      </c>
      <c r="D20" s="5" t="s">
        <v>175</v>
      </c>
      <c r="E20" s="5" t="s">
        <v>174</v>
      </c>
      <c r="F20" s="5" t="s">
        <v>124</v>
      </c>
      <c r="G20" s="5" t="s">
        <v>176</v>
      </c>
    </row>
    <row r="21" spans="1:7" x14ac:dyDescent="0.5">
      <c r="A21" s="6">
        <v>20</v>
      </c>
      <c r="B21" s="1" t="s">
        <v>56</v>
      </c>
      <c r="C21" s="4">
        <f t="shared" si="0"/>
        <v>1</v>
      </c>
      <c r="D21" s="15" t="s">
        <v>63</v>
      </c>
      <c r="E21" s="15" t="s">
        <v>57</v>
      </c>
      <c r="F21" s="15" t="s">
        <v>159</v>
      </c>
      <c r="G21" s="2" t="s">
        <v>58</v>
      </c>
    </row>
    <row r="22" spans="1:7" x14ac:dyDescent="0.5">
      <c r="A22" s="6">
        <v>21</v>
      </c>
      <c r="B22" s="1" t="s">
        <v>37</v>
      </c>
      <c r="C22" s="4">
        <f t="shared" si="0"/>
        <v>3</v>
      </c>
      <c r="D22" s="2" t="s">
        <v>8</v>
      </c>
      <c r="E22" s="2" t="s">
        <v>122</v>
      </c>
      <c r="F22" s="2" t="s">
        <v>160</v>
      </c>
      <c r="G22" s="2" t="s">
        <v>45</v>
      </c>
    </row>
    <row r="23" spans="1:7" x14ac:dyDescent="0.5">
      <c r="A23" s="6">
        <v>22</v>
      </c>
      <c r="B23" s="1" t="s">
        <v>161</v>
      </c>
      <c r="C23" s="4">
        <f t="shared" si="0"/>
        <v>3</v>
      </c>
      <c r="D23" s="2" t="s">
        <v>12</v>
      </c>
      <c r="E23" s="2" t="s">
        <v>123</v>
      </c>
      <c r="F23" s="2" t="s">
        <v>162</v>
      </c>
      <c r="G23" s="2" t="s">
        <v>157</v>
      </c>
    </row>
    <row r="24" spans="1:7" x14ac:dyDescent="0.5">
      <c r="A24" s="6">
        <v>23</v>
      </c>
      <c r="B24" s="1" t="s">
        <v>68</v>
      </c>
      <c r="C24" s="4">
        <f t="shared" si="0"/>
        <v>2</v>
      </c>
      <c r="D24" s="2" t="s">
        <v>167</v>
      </c>
      <c r="E24" s="2" t="s">
        <v>172</v>
      </c>
      <c r="F24" s="2" t="s">
        <v>125</v>
      </c>
      <c r="G24" s="2" t="s">
        <v>166</v>
      </c>
    </row>
    <row r="25" spans="1:7" x14ac:dyDescent="0.5">
      <c r="A25" s="6">
        <v>24</v>
      </c>
      <c r="B25" s="1" t="s">
        <v>24</v>
      </c>
      <c r="C25" s="4">
        <f t="shared" si="0"/>
        <v>1</v>
      </c>
      <c r="D25" s="2" t="s">
        <v>169</v>
      </c>
      <c r="E25" s="2" t="s">
        <v>170</v>
      </c>
      <c r="F25" s="2"/>
      <c r="G25" s="2" t="s">
        <v>171</v>
      </c>
    </row>
    <row r="26" spans="1:7" x14ac:dyDescent="0.5">
      <c r="A26" s="6">
        <v>25</v>
      </c>
      <c r="B26" s="1" t="s">
        <v>66</v>
      </c>
      <c r="C26" s="4">
        <f t="shared" si="0"/>
        <v>1</v>
      </c>
      <c r="D26" s="2" t="s">
        <v>25</v>
      </c>
      <c r="E26" s="2" t="s">
        <v>11</v>
      </c>
      <c r="F26" s="2"/>
      <c r="G26" s="2"/>
    </row>
    <row r="27" spans="1:7" x14ac:dyDescent="0.5">
      <c r="A27" s="6">
        <v>26</v>
      </c>
      <c r="B27" s="1" t="s">
        <v>49</v>
      </c>
      <c r="C27" s="4">
        <f t="shared" si="0"/>
        <v>1</v>
      </c>
      <c r="D27" s="2" t="s">
        <v>50</v>
      </c>
      <c r="E27" s="2" t="s">
        <v>165</v>
      </c>
      <c r="F27" s="2" t="s">
        <v>164</v>
      </c>
      <c r="G27" s="2" t="s">
        <v>163</v>
      </c>
    </row>
    <row r="28" spans="1:7" x14ac:dyDescent="0.5">
      <c r="A28" s="6">
        <v>27</v>
      </c>
      <c r="B28" s="1" t="s">
        <v>31</v>
      </c>
      <c r="C28" s="4">
        <f t="shared" si="0"/>
        <v>1</v>
      </c>
      <c r="D28" s="2" t="s">
        <v>7</v>
      </c>
      <c r="E28" s="2" t="s">
        <v>10</v>
      </c>
      <c r="F28" s="2" t="s">
        <v>126</v>
      </c>
      <c r="G28" s="2" t="s">
        <v>158</v>
      </c>
    </row>
    <row r="30" spans="1:7" x14ac:dyDescent="0.5">
      <c r="D30" s="17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85" zoomScaleNormal="80" zoomScaleSheetLayoutView="85" workbookViewId="0">
      <pane xSplit="2" ySplit="1" topLeftCell="E8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1" t="s">
        <v>29</v>
      </c>
      <c r="B1" s="11" t="s">
        <v>0</v>
      </c>
      <c r="C1" s="11" t="s">
        <v>1</v>
      </c>
      <c r="D1" s="11" t="s">
        <v>13</v>
      </c>
      <c r="E1" s="11" t="s">
        <v>4</v>
      </c>
      <c r="F1" s="12" t="s">
        <v>100</v>
      </c>
      <c r="G1" s="11" t="s">
        <v>2</v>
      </c>
    </row>
    <row r="2" spans="1:9" x14ac:dyDescent="0.5">
      <c r="A2" s="6">
        <v>1</v>
      </c>
      <c r="B2" s="6" t="s">
        <v>96</v>
      </c>
      <c r="C2" s="4">
        <f t="shared" ref="C2:C20" si="0">LEN(B2) - LEN(SUBSTITUTE(B2,",",""))+1</f>
        <v>3</v>
      </c>
      <c r="D2" s="2" t="s">
        <v>6</v>
      </c>
      <c r="E2" s="2" t="s">
        <v>186</v>
      </c>
      <c r="F2" s="2" t="s">
        <v>127</v>
      </c>
      <c r="G2" s="2" t="s">
        <v>187</v>
      </c>
      <c r="I2" s="14"/>
    </row>
    <row r="3" spans="1:9" x14ac:dyDescent="0.5">
      <c r="A3" s="6">
        <v>3</v>
      </c>
      <c r="B3" s="6" t="s">
        <v>95</v>
      </c>
      <c r="C3" s="4">
        <f t="shared" si="0"/>
        <v>2</v>
      </c>
      <c r="D3" s="2" t="s">
        <v>191</v>
      </c>
      <c r="E3" s="2" t="s">
        <v>192</v>
      </c>
      <c r="F3" s="2" t="s">
        <v>130</v>
      </c>
      <c r="G3" s="2" t="s">
        <v>193</v>
      </c>
      <c r="I3" s="14"/>
    </row>
    <row r="4" spans="1:9" x14ac:dyDescent="0.5">
      <c r="A4" s="6">
        <v>2</v>
      </c>
      <c r="B4" s="6" t="s">
        <v>94</v>
      </c>
      <c r="C4" s="4">
        <f t="shared" si="0"/>
        <v>2</v>
      </c>
      <c r="D4" s="2" t="s">
        <v>191</v>
      </c>
      <c r="E4" s="2" t="s">
        <v>194</v>
      </c>
      <c r="F4" s="2" t="s">
        <v>131</v>
      </c>
      <c r="G4" s="2" t="s">
        <v>195</v>
      </c>
      <c r="I4" s="14"/>
    </row>
    <row r="5" spans="1:9" x14ac:dyDescent="0.5">
      <c r="A5" s="6">
        <v>4</v>
      </c>
      <c r="B5" s="6" t="s">
        <v>93</v>
      </c>
      <c r="C5" s="4">
        <f t="shared" si="0"/>
        <v>1</v>
      </c>
      <c r="D5" s="2"/>
      <c r="E5" s="2" t="s">
        <v>133</v>
      </c>
      <c r="F5" s="2" t="s">
        <v>132</v>
      </c>
      <c r="G5" s="2" t="s">
        <v>92</v>
      </c>
      <c r="I5" s="14"/>
    </row>
    <row r="6" spans="1:9" x14ac:dyDescent="0.5">
      <c r="A6" s="6">
        <v>5</v>
      </c>
      <c r="B6" s="6" t="s">
        <v>91</v>
      </c>
      <c r="C6" s="4">
        <f t="shared" si="0"/>
        <v>1</v>
      </c>
      <c r="D6" s="2" t="s">
        <v>36</v>
      </c>
      <c r="E6" s="2" t="s">
        <v>198</v>
      </c>
      <c r="F6" s="2" t="s">
        <v>134</v>
      </c>
      <c r="G6" s="2" t="s">
        <v>199</v>
      </c>
      <c r="I6" s="14"/>
    </row>
    <row r="7" spans="1:9" x14ac:dyDescent="0.5">
      <c r="A7" s="6">
        <v>6</v>
      </c>
      <c r="B7" s="6" t="s">
        <v>90</v>
      </c>
      <c r="C7" s="4">
        <f t="shared" si="0"/>
        <v>1</v>
      </c>
      <c r="D7" s="2" t="s">
        <v>40</v>
      </c>
      <c r="E7" s="2" t="s">
        <v>196</v>
      </c>
      <c r="F7" s="2" t="s">
        <v>135</v>
      </c>
      <c r="G7" s="2" t="s">
        <v>197</v>
      </c>
      <c r="I7" s="14"/>
    </row>
    <row r="8" spans="1:9" x14ac:dyDescent="0.5">
      <c r="A8" s="6">
        <v>7</v>
      </c>
      <c r="B8" s="6" t="s">
        <v>89</v>
      </c>
      <c r="C8" s="4">
        <f t="shared" si="0"/>
        <v>1</v>
      </c>
      <c r="D8" s="2" t="s">
        <v>5</v>
      </c>
      <c r="E8" s="2" t="s">
        <v>88</v>
      </c>
      <c r="F8" s="2"/>
      <c r="G8" s="2" t="s">
        <v>87</v>
      </c>
      <c r="I8" s="14"/>
    </row>
    <row r="9" spans="1:9" x14ac:dyDescent="0.5">
      <c r="A9" s="6">
        <v>8</v>
      </c>
      <c r="B9" s="6" t="s">
        <v>86</v>
      </c>
      <c r="C9" s="4">
        <f t="shared" si="0"/>
        <v>1</v>
      </c>
      <c r="D9" s="10" t="s">
        <v>54</v>
      </c>
      <c r="E9" s="10" t="s">
        <v>216</v>
      </c>
      <c r="F9" s="2"/>
      <c r="G9" s="10" t="s">
        <v>85</v>
      </c>
      <c r="I9" s="14"/>
    </row>
    <row r="10" spans="1:9" x14ac:dyDescent="0.5">
      <c r="A10" s="6">
        <v>9</v>
      </c>
      <c r="B10" s="6" t="s">
        <v>84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23</v>
      </c>
      <c r="I10" s="14"/>
    </row>
    <row r="11" spans="1:9" x14ac:dyDescent="0.5">
      <c r="A11" s="6">
        <v>10</v>
      </c>
      <c r="B11" s="6" t="s">
        <v>83</v>
      </c>
      <c r="C11" s="4">
        <f t="shared" si="0"/>
        <v>1</v>
      </c>
      <c r="D11" s="10" t="s">
        <v>188</v>
      </c>
      <c r="E11" s="10" t="s">
        <v>189</v>
      </c>
      <c r="F11" s="2"/>
      <c r="G11" s="2" t="s">
        <v>190</v>
      </c>
      <c r="I11" s="14"/>
    </row>
    <row r="12" spans="1:9" x14ac:dyDescent="0.5">
      <c r="A12" s="6">
        <v>11</v>
      </c>
      <c r="B12" s="6" t="s">
        <v>82</v>
      </c>
      <c r="C12" s="4">
        <f t="shared" si="0"/>
        <v>1</v>
      </c>
      <c r="D12" s="10"/>
      <c r="E12" s="10" t="s">
        <v>149</v>
      </c>
      <c r="F12" s="2" t="s">
        <v>136</v>
      </c>
      <c r="G12" s="2" t="s">
        <v>81</v>
      </c>
      <c r="I12" s="14"/>
    </row>
    <row r="13" spans="1:9" x14ac:dyDescent="0.5">
      <c r="A13" s="6">
        <v>12</v>
      </c>
      <c r="B13" s="6" t="s">
        <v>80</v>
      </c>
      <c r="C13" s="4">
        <f t="shared" si="0"/>
        <v>1</v>
      </c>
      <c r="D13" s="10" t="s">
        <v>53</v>
      </c>
      <c r="E13" s="10" t="s">
        <v>148</v>
      </c>
      <c r="F13" s="2" t="s">
        <v>137</v>
      </c>
      <c r="G13" s="2" t="s">
        <v>60</v>
      </c>
      <c r="I13" s="14"/>
    </row>
    <row r="14" spans="1:9" x14ac:dyDescent="0.5">
      <c r="A14" s="6">
        <v>13</v>
      </c>
      <c r="B14" s="6" t="s">
        <v>79</v>
      </c>
      <c r="C14" s="4">
        <f t="shared" si="0"/>
        <v>1</v>
      </c>
      <c r="D14" s="10" t="s">
        <v>53</v>
      </c>
      <c r="E14" s="10" t="s">
        <v>147</v>
      </c>
      <c r="F14" s="2" t="s">
        <v>138</v>
      </c>
      <c r="G14" s="2" t="s">
        <v>179</v>
      </c>
      <c r="I14" s="14"/>
    </row>
    <row r="15" spans="1:9" x14ac:dyDescent="0.5">
      <c r="A15" s="6">
        <v>14</v>
      </c>
      <c r="B15" s="6" t="s">
        <v>78</v>
      </c>
      <c r="C15" s="4">
        <f t="shared" si="0"/>
        <v>1</v>
      </c>
      <c r="D15" s="10" t="s">
        <v>53</v>
      </c>
      <c r="E15" s="10" t="s">
        <v>146</v>
      </c>
      <c r="F15" s="2" t="s">
        <v>139</v>
      </c>
      <c r="G15" s="2" t="s">
        <v>77</v>
      </c>
      <c r="I15" s="14"/>
    </row>
    <row r="16" spans="1:9" x14ac:dyDescent="0.5">
      <c r="A16" s="6">
        <v>15</v>
      </c>
      <c r="B16" s="6" t="s">
        <v>76</v>
      </c>
      <c r="C16" s="4">
        <f t="shared" si="0"/>
        <v>2</v>
      </c>
      <c r="D16" s="10" t="s">
        <v>53</v>
      </c>
      <c r="E16" s="10" t="s">
        <v>145</v>
      </c>
      <c r="F16" s="2" t="s">
        <v>140</v>
      </c>
      <c r="G16" s="2" t="s">
        <v>75</v>
      </c>
      <c r="I16" s="14"/>
    </row>
    <row r="17" spans="1:9" x14ac:dyDescent="0.5">
      <c r="A17" s="6">
        <v>16</v>
      </c>
      <c r="B17" s="6" t="s">
        <v>74</v>
      </c>
      <c r="C17" s="4">
        <f t="shared" si="0"/>
        <v>2</v>
      </c>
      <c r="D17" s="10" t="s">
        <v>53</v>
      </c>
      <c r="E17" s="10" t="s">
        <v>144</v>
      </c>
      <c r="F17" s="2" t="s">
        <v>141</v>
      </c>
      <c r="G17" s="2" t="s">
        <v>73</v>
      </c>
      <c r="I17" s="14"/>
    </row>
    <row r="18" spans="1:9" x14ac:dyDescent="0.5">
      <c r="A18" s="6">
        <v>17</v>
      </c>
      <c r="B18" s="6" t="s">
        <v>72</v>
      </c>
      <c r="C18" s="4">
        <f t="shared" si="0"/>
        <v>1</v>
      </c>
      <c r="D18" s="10" t="s">
        <v>205</v>
      </c>
      <c r="E18" s="10" t="s">
        <v>143</v>
      </c>
      <c r="F18" s="5" t="s">
        <v>142</v>
      </c>
      <c r="G18" s="2" t="s">
        <v>206</v>
      </c>
      <c r="I18" s="14"/>
    </row>
    <row r="19" spans="1:9" x14ac:dyDescent="0.5">
      <c r="A19" s="6">
        <v>18</v>
      </c>
      <c r="B19" s="6" t="s">
        <v>217</v>
      </c>
      <c r="C19" s="4">
        <f t="shared" si="0"/>
        <v>1</v>
      </c>
      <c r="D19" s="2" t="s">
        <v>201</v>
      </c>
      <c r="E19" s="2" t="s">
        <v>202</v>
      </c>
      <c r="F19" s="2" t="s">
        <v>129</v>
      </c>
      <c r="G19" s="7" t="s">
        <v>204</v>
      </c>
      <c r="I19" s="14"/>
    </row>
    <row r="20" spans="1:9" x14ac:dyDescent="0.5">
      <c r="A20" s="6">
        <v>19</v>
      </c>
      <c r="B20" s="6" t="s">
        <v>71</v>
      </c>
      <c r="C20" s="4">
        <f t="shared" si="0"/>
        <v>1</v>
      </c>
      <c r="D20" s="2" t="s">
        <v>61</v>
      </c>
      <c r="E20" s="2">
        <v>32208551</v>
      </c>
      <c r="F20" s="5"/>
      <c r="G20" s="2" t="s">
        <v>62</v>
      </c>
      <c r="I20" s="14"/>
    </row>
    <row r="22" spans="1:9" x14ac:dyDescent="0.5">
      <c r="F22" s="8"/>
      <c r="G22" s="13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G39"/>
  <sheetViews>
    <sheetView view="pageBreakPreview" zoomScale="70" zoomScaleNormal="80" zoomScaleSheetLayoutView="7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7" ht="21" customHeight="1" x14ac:dyDescent="0.5">
      <c r="A1" s="18" t="s">
        <v>29</v>
      </c>
      <c r="B1" s="12" t="s">
        <v>0</v>
      </c>
      <c r="C1" s="12" t="s">
        <v>1</v>
      </c>
      <c r="D1" s="12" t="s">
        <v>13</v>
      </c>
      <c r="E1" s="12" t="s">
        <v>4</v>
      </c>
      <c r="F1" s="12" t="s">
        <v>100</v>
      </c>
    </row>
    <row r="2" spans="1:7" x14ac:dyDescent="0.5">
      <c r="A2" s="6">
        <v>1</v>
      </c>
      <c r="B2" s="3" t="s">
        <v>215</v>
      </c>
      <c r="C2" s="4">
        <f t="shared" ref="C2:C7" si="0">LEN(B2) - LEN(SUBSTITUTE(B2,",",""))+1</f>
        <v>3</v>
      </c>
      <c r="D2" s="2" t="s">
        <v>6</v>
      </c>
      <c r="E2" s="2" t="s">
        <v>186</v>
      </c>
      <c r="F2" s="2" t="s">
        <v>127</v>
      </c>
      <c r="G2" s="2" t="s">
        <v>187</v>
      </c>
    </row>
    <row r="3" spans="1:7" x14ac:dyDescent="0.5">
      <c r="A3" s="6">
        <v>2</v>
      </c>
      <c r="B3" s="1" t="s">
        <v>214</v>
      </c>
      <c r="C3" s="4">
        <f t="shared" si="0"/>
        <v>1</v>
      </c>
      <c r="D3" s="2" t="s">
        <v>5</v>
      </c>
      <c r="E3" s="2" t="s">
        <v>209</v>
      </c>
      <c r="F3" s="2"/>
      <c r="G3" s="2" t="s">
        <v>210</v>
      </c>
    </row>
    <row r="4" spans="1:7" x14ac:dyDescent="0.5">
      <c r="A4" s="6">
        <v>3</v>
      </c>
      <c r="B4" s="1" t="s">
        <v>212</v>
      </c>
      <c r="C4" s="4">
        <f t="shared" si="0"/>
        <v>2</v>
      </c>
      <c r="D4" s="2" t="s">
        <v>42</v>
      </c>
      <c r="E4" s="2" t="s">
        <v>150</v>
      </c>
      <c r="F4" s="2"/>
      <c r="G4" s="7" t="s">
        <v>184</v>
      </c>
    </row>
    <row r="5" spans="1:7" x14ac:dyDescent="0.5">
      <c r="A5" s="6">
        <v>4</v>
      </c>
      <c r="B5" s="1" t="s">
        <v>97</v>
      </c>
      <c r="C5" s="4">
        <f t="shared" si="0"/>
        <v>1</v>
      </c>
      <c r="D5" s="2" t="s">
        <v>42</v>
      </c>
      <c r="E5" s="2" t="s">
        <v>98</v>
      </c>
      <c r="F5" s="2" t="s">
        <v>128</v>
      </c>
      <c r="G5" s="7" t="s">
        <v>185</v>
      </c>
    </row>
    <row r="6" spans="1:7" x14ac:dyDescent="0.5">
      <c r="A6" s="6">
        <v>5</v>
      </c>
      <c r="B6" s="1" t="s">
        <v>213</v>
      </c>
      <c r="C6" s="4">
        <f>LEN(B6) - LEN(SUBSTITUTE(B6,",",""))+1</f>
        <v>1</v>
      </c>
      <c r="D6" s="2" t="s">
        <v>12</v>
      </c>
      <c r="E6" s="2" t="s">
        <v>123</v>
      </c>
      <c r="F6" s="2" t="s">
        <v>162</v>
      </c>
      <c r="G6" s="2" t="s">
        <v>157</v>
      </c>
    </row>
    <row r="7" spans="1:7" x14ac:dyDescent="0.5">
      <c r="A7" s="6">
        <v>6</v>
      </c>
      <c r="B7" s="1" t="s">
        <v>211</v>
      </c>
      <c r="C7" s="4">
        <f t="shared" si="0"/>
        <v>1</v>
      </c>
      <c r="D7" s="2" t="s">
        <v>200</v>
      </c>
      <c r="E7" s="2" t="s">
        <v>203</v>
      </c>
      <c r="F7" s="2" t="s">
        <v>173</v>
      </c>
      <c r="G7" s="7" t="s">
        <v>204</v>
      </c>
    </row>
    <row r="8" spans="1:7" x14ac:dyDescent="0.5">
      <c r="F8" s="8"/>
    </row>
    <row r="9" spans="1:7" x14ac:dyDescent="0.5">
      <c r="D9" s="17"/>
      <c r="F9" s="8"/>
    </row>
    <row r="10" spans="1:7" x14ac:dyDescent="0.5">
      <c r="F10" s="8"/>
    </row>
    <row r="11" spans="1:7" x14ac:dyDescent="0.5">
      <c r="F11" s="8"/>
    </row>
    <row r="12" spans="1:7" x14ac:dyDescent="0.5">
      <c r="F12" s="8"/>
    </row>
    <row r="13" spans="1:7" x14ac:dyDescent="0.5">
      <c r="F13" s="8"/>
    </row>
    <row r="14" spans="1:7" x14ac:dyDescent="0.5">
      <c r="F14" s="8"/>
    </row>
    <row r="15" spans="1:7" x14ac:dyDescent="0.5">
      <c r="F15" s="8"/>
    </row>
    <row r="16" spans="1:7" x14ac:dyDescent="0.5">
      <c r="F16" s="8"/>
    </row>
    <row r="17" spans="6:6" x14ac:dyDescent="0.5">
      <c r="F17" s="8"/>
    </row>
    <row r="18" spans="6:6" x14ac:dyDescent="0.5">
      <c r="F18" s="8"/>
    </row>
    <row r="19" spans="6:6" x14ac:dyDescent="0.5">
      <c r="F19" s="8"/>
    </row>
    <row r="20" spans="6:6" x14ac:dyDescent="0.5">
      <c r="F20" s="8"/>
    </row>
    <row r="21" spans="6:6" x14ac:dyDescent="0.5">
      <c r="F21" s="8"/>
    </row>
    <row r="22" spans="6:6" x14ac:dyDescent="0.5">
      <c r="F22" s="8"/>
    </row>
    <row r="23" spans="6:6" x14ac:dyDescent="0.5">
      <c r="F23" s="8"/>
    </row>
    <row r="24" spans="6:6" x14ac:dyDescent="0.5">
      <c r="F24" s="8"/>
    </row>
    <row r="25" spans="6:6" x14ac:dyDescent="0.5">
      <c r="F25" s="8"/>
    </row>
    <row r="26" spans="6:6" x14ac:dyDescent="0.5">
      <c r="F26" s="8"/>
    </row>
    <row r="27" spans="6:6" x14ac:dyDescent="0.5">
      <c r="F27" s="8"/>
    </row>
    <row r="28" spans="6:6" x14ac:dyDescent="0.5">
      <c r="F28" s="8"/>
    </row>
    <row r="29" spans="6:6" x14ac:dyDescent="0.5">
      <c r="F29" s="8"/>
    </row>
    <row r="30" spans="6:6" x14ac:dyDescent="0.5">
      <c r="F30" s="8"/>
    </row>
    <row r="31" spans="6:6" x14ac:dyDescent="0.5">
      <c r="F31" s="8"/>
    </row>
    <row r="32" spans="6:6" x14ac:dyDescent="0.5">
      <c r="F32" s="8"/>
    </row>
    <row r="33" spans="6:6" x14ac:dyDescent="0.5">
      <c r="F33" s="8"/>
    </row>
    <row r="34" spans="6:6" x14ac:dyDescent="0.5">
      <c r="F34" s="8"/>
    </row>
    <row r="35" spans="6:6" x14ac:dyDescent="0.5">
      <c r="F35" s="8"/>
    </row>
    <row r="36" spans="6:6" x14ac:dyDescent="0.5">
      <c r="F36" s="8"/>
    </row>
    <row r="37" spans="6:6" x14ac:dyDescent="0.5">
      <c r="F37" s="8"/>
    </row>
    <row r="38" spans="6:6" x14ac:dyDescent="0.5">
      <c r="F38" s="8"/>
    </row>
    <row r="39" spans="6:6" x14ac:dyDescent="0.5">
      <c r="F3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2026-07-24T00:50:17Z</cp:lastPrinted>
  <dcterms:created xsi:type="dcterms:W3CDTF">2018-08-06T08:24:34Z</dcterms:created>
  <dcterms:modified xsi:type="dcterms:W3CDTF">2026-08-10T04:37:15Z</dcterms:modified>
</cp:coreProperties>
</file>